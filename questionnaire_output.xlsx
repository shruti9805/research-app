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nses" sheetId="1" state="visible" r:id="rId3"/>
    <sheet name="Summary" sheetId="2" state="visible" r:id="rId4"/>
    <sheet name="Legend" sheetId="3" state="visible" r:id="rId5"/>
  </sheets>
  <definedNames>
    <definedName function="false" hidden="true" localSheetId="0" name="_xlnm._FilterDatabase" vbProcedure="false">Responses!$A$1:$J$80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<sst xmlns="http://schemas.openxmlformats.org/spreadsheetml/2006/main" count="708" uniqueCount="324">
  <si>
    <t xml:space="preserve">response_id</t>
  </si>
  <si>
    <t xml:space="preserve">device_id</t>
  </si>
  <si>
    <t xml:space="preserve">captured_at</t>
  </si>
  <si>
    <t xml:space="preserve">part</t>
  </si>
  <si>
    <t xml:space="preserve">seq</t>
  </si>
  <si>
    <t xml:space="preserve">code</t>
  </si>
  <si>
    <t xml:space="preserve">construct</t>
  </si>
  <si>
    <t xml:space="preserve">question_english</t>
  </si>
  <si>
    <t xml:space="preserve">question_hindi</t>
  </si>
  <si>
    <t xml:space="preserve">answer</t>
  </si>
  <si>
    <t xml:space="preserve">A-0001</t>
  </si>
  <si>
    <t xml:space="preserve">A</t>
  </si>
  <si>
    <t xml:space="preserve">2026-09-12</t>
  </si>
  <si>
    <t xml:space="preserve">DEM_school_name</t>
  </si>
  <si>
    <t xml:space="preserve">Demographic</t>
  </si>
  <si>
    <t xml:space="preserve">Name of school</t>
  </si>
  <si>
    <t xml:space="preserve">स्कूल का नाम</t>
  </si>
  <si>
    <t xml:space="preserve">B.P. Pujari Gr.EM</t>
  </si>
  <si>
    <t xml:space="preserve">DEM_district_block</t>
  </si>
  <si>
    <t xml:space="preserve">District/ Block</t>
  </si>
  <si>
    <t xml:space="preserve">जिला / ब्लॉक</t>
  </si>
  <si>
    <t xml:space="preserve">Raipur/Dharsiwa</t>
  </si>
  <si>
    <t xml:space="preserve">DEM_class_grade</t>
  </si>
  <si>
    <t xml:space="preserve">Class / Grade of child</t>
  </si>
  <si>
    <t xml:space="preserve">बच्चे की कक्षा / ग्रेड</t>
  </si>
  <si>
    <t xml:space="preserve">9th A</t>
  </si>
  <si>
    <t xml:space="preserve">DEM_attendance</t>
  </si>
  <si>
    <t xml:space="preserve">School Attendance</t>
  </si>
  <si>
    <t xml:space="preserve">स्कूल में उपस्थिति</t>
  </si>
  <si>
    <t xml:space="preserve">Miss 3 to 5 days in a month</t>
  </si>
  <si>
    <t xml:space="preserve">DEM_gender</t>
  </si>
  <si>
    <t xml:space="preserve">Gender</t>
  </si>
  <si>
    <t xml:space="preserve">लिंग</t>
  </si>
  <si>
    <t xml:space="preserve">Female</t>
  </si>
  <si>
    <t xml:space="preserve">DEM_family_income</t>
  </si>
  <si>
    <t xml:space="preserve">Approximate annual family income</t>
  </si>
  <si>
    <t xml:space="preserve">अनुमानित वार्षिक पारिवारिक आय</t>
  </si>
  <si>
    <t xml:space="preserve">unanswered</t>
  </si>
  <si>
    <t xml:space="preserve">DEM_extracurricular</t>
  </si>
  <si>
    <t xml:space="preserve">Are you involved in any extracurricular activities like music or games?</t>
  </si>
  <si>
    <t xml:space="preserve">क्या आप संगीत या खेल जैसी किसी पाठ्येतर गतिविधियों में शामिल हैं?</t>
  </si>
  <si>
    <t xml:space="preserve">DEM_digital_access</t>
  </si>
  <si>
    <t xml:space="preserve">Do you have access to digital devices and internet at home?</t>
  </si>
  <si>
    <t xml:space="preserve">क्या आपके घर पर डिजिटल उपकरण और इंटरनेट की सुविधा है?</t>
  </si>
  <si>
    <t xml:space="preserve">Yes</t>
  </si>
  <si>
    <t xml:space="preserve">B</t>
  </si>
  <si>
    <t xml:space="preserve">ER_1</t>
  </si>
  <si>
    <t xml:space="preserve">ER</t>
  </si>
  <si>
    <t xml:space="preserve">My academic submissions are marked and assessed fairly.</t>
  </si>
  <si>
    <t xml:space="preserve">मेरे अकादमिक कार्यों का मूल्यांकन निष्पक्ष रूप से किया जाता है।</t>
  </si>
  <si>
    <t xml:space="preserve">ER_2</t>
  </si>
  <si>
    <t xml:space="preserve">I am provided feedback on all academic aspects in the same way as my peers.</t>
  </si>
  <si>
    <t xml:space="preserve">मुझे अपने सहपाठियों के समान ही सभी अकादमिक पहलुओं पर फीडबैक प्रदान किया जाता है।</t>
  </si>
  <si>
    <t xml:space="preserve">ER_3</t>
  </si>
  <si>
    <t xml:space="preserve">My teachers cover the topics they say they will teach and timely complete the syllabus planned for the year.</t>
  </si>
  <si>
    <t xml:space="preserve">मेरे शिक्षक उन विषयों को पढ़ाते हैं जिनके लिए वे कहते हैं और वर्ष के लिए निर्धारित पाठ्यक्रम को समय पर पूरा करते हैं।</t>
  </si>
  <si>
    <t xml:space="preserve">unreadable: mark spans columns 3 and 4</t>
  </si>
  <si>
    <t xml:space="preserve">ER_4</t>
  </si>
  <si>
    <t xml:space="preserve">I trust that the rules and expectations in my school are applied the same way to every student.</t>
  </si>
  <si>
    <t xml:space="preserve">मुझे विश्वास है कि मेरे स्कूल के नियम और अपेक्षाएं हर छात्र पर समान रूप से लागू होती हैं।</t>
  </si>
  <si>
    <t xml:space="preserve">ER_5</t>
  </si>
  <si>
    <t xml:space="preserve">I can rely on my school to follow through on what it promises events, and activities happen as planned.</t>
  </si>
  <si>
    <t xml:space="preserve">मैं अपने स्कूल पर भरोसा कर सकता हूँ कि वह अपने वादों को पूरा करेगा; कार्यक्रम और गतिविधियां योजना के अनुसार होती हैं।</t>
  </si>
  <si>
    <t xml:space="preserve">ER_6</t>
  </si>
  <si>
    <t xml:space="preserve">I feel that the time I spend in school is used productively and is not wasted on administrative delays.</t>
  </si>
  <si>
    <t xml:space="preserve">मुझे लगता है कि स्कूल में बिताया गया मेरा समय उत्पादक रूप से उपयोग किया जाता है और प्रशासनिक देरी में बर्बाद नहीं होता है।</t>
  </si>
  <si>
    <t xml:space="preserve">RE_1</t>
  </si>
  <si>
    <t xml:space="preserve">RE</t>
  </si>
  <si>
    <t xml:space="preserve">I feel supported when I struggle my learning needs are noticed and someone helps me.</t>
  </si>
  <si>
    <t xml:space="preserve">जब मुझे कठिनाई होती है तो मुझे सहयोग महसूस होता है; मेरी सीखने की जरूरतों पर ध्यान दिया जाता है और कोई मेरी मदद करता है।</t>
  </si>
  <si>
    <t xml:space="preserve">RE_2</t>
  </si>
  <si>
    <t xml:space="preserve">I experience different styles of teaching in my classes, which helps me understand things in the way that works best for me.</t>
  </si>
  <si>
    <t xml:space="preserve">मैं अपनी कक्षाओं में पढ़ाने के विभिन्न तरीकों का अनुभव करता हूँ, जिससे मुझे चीजों को उस तरीके से समझने में मदद मिलती है जो मेरे लिए सबसे उपयुक्त है।</t>
  </si>
  <si>
    <t xml:space="preserve">RE_3</t>
  </si>
  <si>
    <t xml:space="preserve">I get a response when I have a question or concern about my studies, I do not feel ignored.</t>
  </si>
  <si>
    <t xml:space="preserve">जब मुझे अपनी पढ़ाई के बारे में कोई प्रश्न या चिंता होती है तो मुझे जवाब मिलता है, मुझे अनदेखा महसूस नहीं होता।</t>
  </si>
  <si>
    <t xml:space="preserve">RE_4</t>
  </si>
  <si>
    <t xml:space="preserve">I learn better because of the digital tools and technology used in my school they make things clearer and more interesting.</t>
  </si>
  <si>
    <t xml:space="preserve">मैं अपने स्कूल में उपयोग किए जाने वाले डिजिटल उपकरणों और तकनीक के कारण बेहतर सीखता हूँ; वे चीजों को स्पष्ट और अधिक रोचक बनाते हैं।</t>
  </si>
  <si>
    <t xml:space="preserve">RE_5</t>
  </si>
  <si>
    <t xml:space="preserve">I feel that my school adjusts how it teaches based on how well students are actually learning.</t>
  </si>
  <si>
    <t xml:space="preserve">मुझे लगता है कि छात्र वास्तव में कितना अच्छा सीख रहे हैं, इसके आधार पर मेरा स्कूल अपने पढ़ाने के तरीके में बदलाव करता है।</t>
  </si>
  <si>
    <t xml:space="preserve">RE_6</t>
  </si>
  <si>
    <t xml:space="preserve">I am aware of a way to raise concerns and questions in my school and feel that concerns are taken seriously.</t>
  </si>
  <si>
    <t xml:space="preserve">मुझे अपने स्कूल में चिंताओं और सवालों को उठाने के तरीके के बारे में पता है और मुझे लगता है कि चिंताओं को गंभीरता से लिया जाता है।</t>
  </si>
  <si>
    <t xml:space="preserve">EO_1</t>
  </si>
  <si>
    <t xml:space="preserve">EO</t>
  </si>
  <si>
    <t xml:space="preserve">I feel that my reading, writing, and maths skills have clearly improved this school year.</t>
  </si>
  <si>
    <t xml:space="preserve">मुझे लगता है कि इस स्कूल वर्ष में मेरे पढ़ने, लिखने और गणित के कौशल में स्पष्ट रूप से सुधार हुआ है।</t>
  </si>
  <si>
    <t xml:space="preserve">EO_2</t>
  </si>
  <si>
    <t xml:space="preserve">I am given tasks that make me think deeply, solve problems, and use what I have learnt in new situations not just memorise facts.</t>
  </si>
  <si>
    <t xml:space="preserve">मुझे ऐसे कार्य दिए जाते हैं जो मुझे गहराई से सोचने, समस्याओं को हल करने और नई स्थितियों में जो मैंने सीखा है उसका उपयोग करने के लिए प्रेरित करते हैं, न कि केवल तथ्यों को याद रखने के लिए।</t>
  </si>
  <si>
    <t xml:space="preserve">EO_3</t>
  </si>
  <si>
    <t xml:space="preserve">The things I learn in school feel relevant to my life, society and the world I will live in.</t>
  </si>
  <si>
    <t xml:space="preserve">स्कूल में मैं जो चीजें सीखता हूँ, वे मुझे मेरे जीवन, समाज और उस दुनिया के लिए प्रासंगिक लगती हैं जिसमें मैं रहूँगा।</t>
  </si>
  <si>
    <t xml:space="preserve">EO_4</t>
  </si>
  <si>
    <t xml:space="preserve">I learn skills like working in a team, communicating clearly, and using technology that I will need in the future.</t>
  </si>
  <si>
    <t xml:space="preserve">मैं एक टीम में काम करने, स्पष्ट रूप से संवाद करने और प्रौद्योगिकी का उपयोग करने जैसे कौशल सीखता हूँ जिनकी मुझे भविष्य में आवश्यकता होगी।</t>
  </si>
  <si>
    <t xml:space="preserve">EO_5</t>
  </si>
  <si>
    <t xml:space="preserve">I feel that all students including weaker students are actually learning and not just a few high performers.</t>
  </si>
  <si>
    <t xml:space="preserve">मुझे लगता है कि कमजोर छात्रों सहित सभी छात्र वास्तव में सीख रहे हैं, न कि केवल कुछ उच्च प्रदर्शन करने वाले।</t>
  </si>
  <si>
    <t xml:space="preserve">EO_6</t>
  </si>
  <si>
    <t xml:space="preserve">I am encouraged to be curious, to ask questions, think about my future and to keep learning even outside of class.</t>
  </si>
  <si>
    <t xml:space="preserve">मुझे जिज्ञासु होने, सवाल पूछने, अपने भविष्य के बारे में सोचने और कक्षा के बाहर भी सीखते रहने के लिए प्रोत्साहित किया जाता है।</t>
  </si>
  <si>
    <t xml:space="preserve">EO_7</t>
  </si>
  <si>
    <t xml:space="preserve">My teachers include local stories, real life examples, and knowledge from my community in what they teach me.</t>
  </si>
  <si>
    <t xml:space="preserve">मेरे शिक्षक मुझे जो पढ़ाते हैं उसमें स्थानीय कहानियाँ, वास्तविक जीवन के उदाहरण और मेरे समुदाय के ज्ञान को शामिल करते हैं।</t>
  </si>
  <si>
    <t xml:space="preserve">EM_1</t>
  </si>
  <si>
    <t xml:space="preserve">EM</t>
  </si>
  <si>
    <t xml:space="preserve">I feel genuinely seen and valued as a person in my school not just my score.</t>
  </si>
  <si>
    <t xml:space="preserve">मुझे अपने स्कूल में केवल मेरे अंकों के रूप में नहीं, बल्कि एक व्यक्ति के रूप में वास्तव में देखा और महत्व दिया जाता है।</t>
  </si>
  <si>
    <t xml:space="preserve">EM_2</t>
  </si>
  <si>
    <t xml:space="preserve">I feel welcomed and respected in my classroom regardless of my background, gender, caste, or ability.</t>
  </si>
  <si>
    <t xml:space="preserve">मेरी पृष्ठभूमि, लिंग, जाति या क्षमता की परवाह किए बिना, मुझे अपनी कक्षा में स्वागत और सम्मान महसूस होता है।</t>
  </si>
  <si>
    <t xml:space="preserve">EM_3</t>
  </si>
  <si>
    <t xml:space="preserve">I feel that someone at school notices when I am going through a difficult time and genuinely tries to help.</t>
  </si>
  <si>
    <t xml:space="preserve">मुझे लगता है कि स्कूल में कोई ध्यान देता है जब मैं कठिन समय से गुजर रहा होता हूँ और वास्तव में मदद करने की कोशिश करता है।</t>
  </si>
  <si>
    <t xml:space="preserve">EM_4</t>
  </si>
  <si>
    <t xml:space="preserve">My teachers encourage me and help me believe that I can learn and succeed even when I find something difficult.</t>
  </si>
  <si>
    <t xml:space="preserve">मेरे शिक्षक मुझे प्रोत्साहित करते हैं और यह विश्वास करने में मदद करते हैं कि मैं सीख सकता हूँ और सफल हो सकता हूँ, तब भी जब मुझे कुछ मुश्किल लगता है।</t>
  </si>
  <si>
    <t xml:space="preserve">EM_5</t>
  </si>
  <si>
    <t xml:space="preserve">Students from poorer or more disadvantaged backgrounds receive as much attention and opportunity to learn as other students in my school.</t>
  </si>
  <si>
    <t xml:space="preserve">मेरे स्कूल में गरीब या अधिक वंचित पृष्ठभूमि के छात्रों को अन्य छात्रों के समान ही ध्यान और सीखने का अवसर मिलता है।</t>
  </si>
  <si>
    <t xml:space="preserve">EM_6</t>
  </si>
  <si>
    <t xml:space="preserve">I have opportunities in school to develop beyond academics through sports, arts, cultural activities, or other interests.</t>
  </si>
  <si>
    <t xml:space="preserve">मुझे स्कूल में खेल, कला, सांस्कृतिक गतिविधियों या अन्य रुचियों के माध्यम से शिक्षा के अलावा खुद को विकसित करने के अवसर मिलते हैं।</t>
  </si>
  <si>
    <t xml:space="preserve">DI_1</t>
  </si>
  <si>
    <t xml:space="preserve">DI</t>
  </si>
  <si>
    <t xml:space="preserve">I have access to computers, tablets, projectors, in school for learning.</t>
  </si>
  <si>
    <t xml:space="preserve">मुझे सीखने के लिए स्कूल में कंप्यूटर, टैबलेट, प्रोजेक्टर तक पहुंच प्राप्त है।</t>
  </si>
  <si>
    <t xml:space="preserve">DI_2</t>
  </si>
  <si>
    <t xml:space="preserve">I can use the internet at school without it being too slow or unreliable to be useful.</t>
  </si>
  <si>
    <t xml:space="preserve">मैं स्कूल में इंटरनेट का उपयोग कर सकता हूँ और यह इतना धीमा या अविश्वसनीय नहीं होता कि अनुपयोगी हो जाए।</t>
  </si>
  <si>
    <t xml:space="preserve">conflict: EN=Yes HI=No</t>
  </si>
  <si>
    <t xml:space="preserve">DI_3</t>
  </si>
  <si>
    <t xml:space="preserve">I find that digital equipment in my school works properly when it is needed; it is not always broken or unavailable.</t>
  </si>
  <si>
    <t xml:space="preserve">मुझे लगता है कि मेरे स्कूल में डिजिटल उपकरण जरूरत पड़ने पर ठीक से काम करते हैं; वे हमेशा टूटे हुए या अनुपलब्ध नहीं होते हैं।</t>
  </si>
  <si>
    <t xml:space="preserve">DI_4</t>
  </si>
  <si>
    <t xml:space="preserve">I know that if a device or tool stops working, it gets fixed quickly so learning is not disrupted for long.</t>
  </si>
  <si>
    <t xml:space="preserve">मुझे पता है कि अगर कोई उपकरण या टूल काम करना बंद कर देता है, तो उसे जल्दी से ठीक कर दिया जाता है ताकि सीखने में लंबे समय तक बाधा न आए।</t>
  </si>
  <si>
    <t xml:space="preserve">DI_5</t>
  </si>
  <si>
    <t xml:space="preserve">I have the same access to digital tools as other students in my school, no one is left out.</t>
  </si>
  <si>
    <t xml:space="preserve">मुझे भी स्कूल के अन्य छात्रों की तरह ही डिजिटल उपकरणों तक समान पहुंच प्राप्त है, कोई भी छूटता नहीं है।</t>
  </si>
  <si>
    <t xml:space="preserve">DI_6</t>
  </si>
  <si>
    <t xml:space="preserve">I can access learning content provided by my school through an app or online platform like Google Classroom.</t>
  </si>
  <si>
    <t xml:space="preserve">मैं Google Classroom जैसे ऐप या ऑनलाइन प्लेटफ़ॉर्म के माध्यम से अपने स्कूल द्वारा प्रदान की गई शिक्षण सामग्री तक पहुंच सकता हूँ।</t>
  </si>
  <si>
    <t xml:space="preserve">TC_1</t>
  </si>
  <si>
    <t xml:space="preserve">TC</t>
  </si>
  <si>
    <t xml:space="preserve">I feel that my teachers are able to use digital tools like smart boards, apps, and online platforms; comfortably and confidently in their lessons.</t>
  </si>
  <si>
    <t xml:space="preserve">मुझे लगता है कि मेरे शिक्षक अपने पाठों में स्मार्ट बोर्ड, ऐप और ऑनलाइन प्लेटफ़ॉर्म जैसे डिजिटल उपकरणों का आराम और आत्मविश्वास से उपयोग करने में सक्षम हैं।</t>
  </si>
  <si>
    <t xml:space="preserve">TC_2</t>
  </si>
  <si>
    <t xml:space="preserve">I have noticed that my teachers choose the right and interesting digital tool for each subject and lesson.</t>
  </si>
  <si>
    <t xml:space="preserve">मैंने देखा है कि मेरे शिक्षक प्रत्येक विषय और पाठ के लिए सही और रोचक डिजिटल उपकरण चुनते हैं।</t>
  </si>
  <si>
    <t xml:space="preserve">TC_3</t>
  </si>
  <si>
    <t xml:space="preserve">I feel that the way teachers use technology in my school keeps improving.</t>
  </si>
  <si>
    <t xml:space="preserve">मुझे लगता है कि मेरे स्कूल में शिक्षकों द्वारा तकनीक का उपयोग करने के तरीके में सुधार होता रहता है।</t>
  </si>
  <si>
    <t xml:space="preserve">TC_4</t>
  </si>
  <si>
    <t xml:space="preserve">I feel that when my teachers use digital tools, it genuinely makes it easier for me to understand the topic.</t>
  </si>
  <si>
    <t xml:space="preserve">मुझे लगता है कि जब मेरे शिक्षक डिजिटल उपकरणों का उपयोग करते हैं, तो इससे मेरे लिए विषय को समझना वास्तव में आसान हो जाता है।</t>
  </si>
  <si>
    <t xml:space="preserve">TC_5</t>
  </si>
  <si>
    <t xml:space="preserve">I learn from my teachers that technology is something to explore and use thoughtfully, not just to look to make things interesting</t>
  </si>
  <si>
    <t xml:space="preserve">मैं अपने शिक्षकों से सीखता हूँ कि प्रौद्योगिकी कुछ ऐसा है जिसे सोच-समझकर खोजना और उपयोग करना चाहिए, न कि केवल चीजों को रोचक बनाने के लिए देखना चाहिए।</t>
  </si>
  <si>
    <t xml:space="preserve">TC_6</t>
  </si>
  <si>
    <t xml:space="preserve">I notice that my teachers bring new digital approaches into lessons regularly; they are not doing the same thing every year.</t>
  </si>
  <si>
    <t xml:space="preserve">मैं ध्यान देता हूँ कि मेरे शिक्षक नियमित रूप से पाठों में नए डिजिटल दृष्टिकोण लाते हैं; वे हर साल एक ही काम नहीं कर रहे हैं।</t>
  </si>
  <si>
    <t xml:space="preserve">DP_1</t>
  </si>
  <si>
    <t xml:space="preserve">DP</t>
  </si>
  <si>
    <t xml:space="preserve">I learn better through videos, animations or interactive websites as they make subjects easier to understand.</t>
  </si>
  <si>
    <t xml:space="preserve">मैं वीडियो, एनिमेशन या इंटरैक्टिव वेबसाइटों के माध्यम से बेहतर सीखता हूँ क्योंकि वे विषयों को समझना आसान बनाते हैं।</t>
  </si>
  <si>
    <t xml:space="preserve">DP_2</t>
  </si>
  <si>
    <t xml:space="preserve">I participate more actively in class because of the way technology is used; it is not just me sitting and watching.</t>
  </si>
  <si>
    <t xml:space="preserve">जिस तरह से तकनीक का उपयोग किया जाता है, उसके कारण मैं कक्षा में अधिक सक्रिय रूप से भाग लेता हूँ; यह केवल मेरा बैठकर देखना नहीं है।</t>
  </si>
  <si>
    <t xml:space="preserve">DP_3</t>
  </si>
  <si>
    <t xml:space="preserve">I experience learning where I use digital content before class and then apply or discuss it in school.</t>
  </si>
  <si>
    <t xml:space="preserve">मैं ऐसे सीखने का अनुभव करता हूँ जहाँ मैं कक्षा से पहले डिजिटल सामग्री का उपयोग करता हूँ और फिर स्कूल में इसे लागू करता हूँ या इस पर चर्चा करता हूँ।</t>
  </si>
  <si>
    <t xml:space="preserve">DP_4</t>
  </si>
  <si>
    <t xml:space="preserve">I notice that technology in my school changes how I learn; it is not just a digital version of the old blackboard.</t>
  </si>
  <si>
    <t xml:space="preserve">मैं ध्यान देता हूँ कि मेरे स्कूल में तकनीक मेरे सीखने के तरीके को बदल देती है; यह केवल पुराने ब्लैकबोर्ड का डिजिटल संस्करण नहीं है।</t>
  </si>
  <si>
    <t xml:space="preserve">DP_5</t>
  </si>
  <si>
    <t xml:space="preserve">I find that digital learning is a normal and regular part of my school day.</t>
  </si>
  <si>
    <t xml:space="preserve">मुझे लगता है कि डिजिटल लर्निंग मेरे स्कूल के दिन का एक सामान्य और नियमित हिस्सा है।</t>
  </si>
  <si>
    <t xml:space="preserve">DP_6</t>
  </si>
  <si>
    <t xml:space="preserve">I am developing skills for using technology responsibly and wisely; not just for entertainment.</t>
  </si>
  <si>
    <t xml:space="preserve">मैं केवल मनोरंजन के लिए नहीं, बल्कि जिम्मेदारी से और समझदारी से प्रौद्योगिकी का उपयोग करने के लिए कौशल विकसित कर रहा हूँ।</t>
  </si>
  <si>
    <t xml:space="preserve">DS_1</t>
  </si>
  <si>
    <t xml:space="preserve">DS</t>
  </si>
  <si>
    <t xml:space="preserve">I can see that my school has a clear plan for using technology things are organised and purposeful.</t>
  </si>
  <si>
    <t xml:space="preserve">मैं देख सकता हूँ कि मेरे स्कूल के पास तकनीक का उपयोग करने की एक स्पष्ट योजना है, चीजें व्यवस्थित और उद्देश्यपूर्ण हैं।</t>
  </si>
  <si>
    <t xml:space="preserve">DS_2</t>
  </si>
  <si>
    <t xml:space="preserve">I feel that my school tracks how I am learning and uses that information to help me.</t>
  </si>
  <si>
    <t xml:space="preserve">मुझे लगता है कि मेरा स्कूल ट्रैक करता है कि मैं कैसे सीख रहा हूँ और मेरी मदद करने के लिए उस जानकारी का उपयोग करता है।</t>
  </si>
  <si>
    <t xml:space="preserve">DS_3</t>
  </si>
  <si>
    <t xml:space="preserve">I experience personalised support when I fall behind, my school uses information about my progress to help me catch up.</t>
  </si>
  <si>
    <t xml:space="preserve">जब मैं पीछे रह जाता हूँ तो मुझे व्यक्तिगत समर्थन का अनुभव होता है, मेरा स्कूल मुझे आगे बढ़ने में मदद करने के लिए मेरी प्रगति के बारे में जानकारी का उपयोग करता है।</t>
  </si>
  <si>
    <t xml:space="preserve">DS_4</t>
  </si>
  <si>
    <t xml:space="preserve">I feel that students who cannot access technology at home are given alternatives so they do not fall behind.</t>
  </si>
  <si>
    <t xml:space="preserve">मुझे लगता है कि जिन छात्रों के पास घर पर तकनीक तक पहुंच नहीं है, उन्हें विकल्प दिए जाते हैं ताकि वे पीछे न रहें।</t>
  </si>
  <si>
    <t xml:space="preserve">DS_5</t>
  </si>
  <si>
    <t xml:space="preserve">I know who to go to in my school when I need help with technology there is someone responsible I can ask things to.</t>
  </si>
  <si>
    <t xml:space="preserve">मुझे पता है कि जब मुझे तकनीक के संबंध में मदद की आवश्यकता होती है तो मुझे अपने स्कूल में किसके पास जाना चाहिए; एक जिम्मेदार व्यक्ति है जिससे मैं मदद मांग सकता हूँ।</t>
  </si>
  <si>
    <t xml:space="preserve">DS_6</t>
  </si>
  <si>
    <t xml:space="preserve">I know the rules for using technology safely and responsibly in my school and I understand why they matter.</t>
  </si>
  <si>
    <t xml:space="preserve">मुझे अपने स्कूल में सुरक्षित और जिम्मेदारी से तकनीक का उपयोग करने के नियम पता हैं और मैं समझता हूँ कि वे क्यों मायने रखते हैं।</t>
  </si>
  <si>
    <t xml:space="preserve">PS_1</t>
  </si>
  <si>
    <t xml:space="preserve">PS</t>
  </si>
  <si>
    <t xml:space="preserve">I feel physically safe in my school building I am not afraid of being hurt, bullied, or harassed.</t>
  </si>
  <si>
    <t xml:space="preserve">मैं अपने स्कूल की इमारत में शारीरिक रूप से सुरक्षित महसूस करता हूँ; मुझे आहत होने, डराए जाने या परेशान किए जाने का डर नहीं है।</t>
  </si>
  <si>
    <t xml:space="preserve">PS_2</t>
  </si>
  <si>
    <t xml:space="preserve">I know what to do if an emergency happens at school because we have been told about safety procedures such as fire exits or sickroom.</t>
  </si>
  <si>
    <t xml:space="preserve">मुझे पता है कि स्कूल में कोई आपात स्थिति होने पर क्या करना चाहिए क्योंकि हमें आग से बचाव या बीमार कक्ष जैसी सुरक्षा प्रक्रियाओं के बारे में बताया गया है।</t>
  </si>
  <si>
    <t xml:space="preserve">PS_3</t>
  </si>
  <si>
    <t xml:space="preserve">I feel comfortable making mistakes in class without being afraid of being mocked or punished harshly.</t>
  </si>
  <si>
    <t xml:space="preserve">मैं उपहास किए जाने या कठोर दंड दिए जाने के डर के बिना कक्षा में गलतियाँ करने में सहज महसूस करता हूँ।</t>
  </si>
  <si>
    <t xml:space="preserve">PS_4</t>
  </si>
  <si>
    <t xml:space="preserve">I experience fair discipline in school. I am not treated differently from others because of who I am.</t>
  </si>
  <si>
    <t xml:space="preserve">मैं स्कूल में उचित अनुशासन का अनुभव करता हूँ। मेरी पहचान के कारण मेरे साथ दूसरों से अलग व्यवहार नहीं किया जाता है।</t>
  </si>
  <si>
    <t xml:space="preserve">PS_5</t>
  </si>
  <si>
    <t xml:space="preserve">I feel that bullying or unkind behaviour is taken seriously and acted upon in my school.</t>
  </si>
  <si>
    <t xml:space="preserve">मुझे लगता है कि मेरे स्कूल में बदमाशी या निर्दयी व्यवहार को गंभीरता से लिया जाता है और उस पर कार्रवाई की जाती है।</t>
  </si>
  <si>
    <t xml:space="preserve">PS_6</t>
  </si>
  <si>
    <t xml:space="preserve">I feel emotionally safe at school it is a place where I can be myself without fear.</t>
  </si>
  <si>
    <t xml:space="preserve">मैं स्कूल में भावनात्मक रूप से सुरक्षित महसूस करता हूँ; यह एक ऐसी जगह है जहाँ मैं बिना किसी डर के अपने असली रूप में रह सकता हूँ।</t>
  </si>
  <si>
    <t xml:space="preserve">PS_7</t>
  </si>
  <si>
    <t xml:space="preserve">I feel respected by the adults in my school no teacher or staff member humiliates students.</t>
  </si>
  <si>
    <t xml:space="preserve">मैं अपने स्कूल में वयस्कों द्वारा सम्मानित महसूस करता हूँ; कोई भी शिक्षक या स्टाफ सदस्य छात्रों को अपमानित नहीं करता है।</t>
  </si>
  <si>
    <t xml:space="preserve">AS_1</t>
  </si>
  <si>
    <t xml:space="preserve">AS</t>
  </si>
  <si>
    <t xml:space="preserve">I see different ways of teaching like discussions, group work, activities, and projects to help me learn better.</t>
  </si>
  <si>
    <t xml:space="preserve">मैं बेहतर ढंग से सीखने में मेरी मदद करने के लिए चर्चाओं, समूह कार्य, गतिविधियों और परियोजनाओं जैसे शिक्षण के विभिन्न तरीके देखता हूँ।</t>
  </si>
  <si>
    <t xml:space="preserve">AS_2</t>
  </si>
  <si>
    <t xml:space="preserve">My teachers give me tasks that challenge me to think, analyse, and apply what I have learnt; not just copy or memorise.</t>
  </si>
  <si>
    <t xml:space="preserve">मेरे शिक्षक मुझे ऐसे कार्य देते हैं जो मुझे सोचने, विश्लेषण करने और जो मैंने सीखा है उसे लागू करने की चुनौती देते हैं; न कि केवल कॉपी करने या याद करने की।</t>
  </si>
  <si>
    <t xml:space="preserve">AS_3</t>
  </si>
  <si>
    <t xml:space="preserve">I feel motivated to work hard because what I am learning feels meaningful and worthwhile.</t>
  </si>
  <si>
    <t xml:space="preserve">मैं कड़ी मेहनत करने के लिए प्रेरित महसूस करता हूँ क्योंकि मैं जो सीख रहा हूँ वह सार्थक और उपयोगी लगता है।</t>
  </si>
  <si>
    <t xml:space="preserve">AS_4</t>
  </si>
  <si>
    <t xml:space="preserve">I am able to concentrate in class because my learning environment; light and seating is comfortable.</t>
  </si>
  <si>
    <t xml:space="preserve">मैं कक्षा में ध्यान केंद्रित करने में सक्षम हूँ क्योंकि मेरा सीखने का माहौल; रोशनी और बैठने की व्यवस्था आरामदायक है।</t>
  </si>
  <si>
    <t xml:space="preserve">AS_5</t>
  </si>
  <si>
    <t xml:space="preserve">I receive clear and useful feedback on my work that tells me exactly how to improve.</t>
  </si>
  <si>
    <t xml:space="preserve">मुझे अपने काम पर स्पष्ट और उपयोगी प्रतिक्रिया मिलती है जो मुझे ठीक-ठीक बताती है कि सुधार कैसे किया जाए।</t>
  </si>
  <si>
    <t xml:space="preserve">IR_1</t>
  </si>
  <si>
    <t xml:space="preserve">IR</t>
  </si>
  <si>
    <t xml:space="preserve">I feel students and teachers in my school treat each other with kindness and respect.</t>
  </si>
  <si>
    <t xml:space="preserve">मुझे लगता है कि मेरे स्कूल में छात्र और शिक्षक एक-दूसरे के साथ दया और सम्मान से पेश आते हैं।</t>
  </si>
  <si>
    <t xml:space="preserve">IR_2</t>
  </si>
  <si>
    <t xml:space="preserve">I feel comfortable with my classmates we treat each other with kindness and respect.</t>
  </si>
  <si>
    <t xml:space="preserve">मैं अपने सहपाठियों के साथ सहज महसूस करता हूँ; हम एक-दूसरे के साथ दया और सम्मान से पेश आते हैं।</t>
  </si>
  <si>
    <t xml:space="preserve">IR_3</t>
  </si>
  <si>
    <t xml:space="preserve">I feel included in all classroom activities and group work .</t>
  </si>
  <si>
    <t xml:space="preserve">मैं सभी कक्षा की गतिविधियों और समूह कार्यों में शामिल महसूस करता हूँ।</t>
  </si>
  <si>
    <t xml:space="preserve">IR_4</t>
  </si>
  <si>
    <t xml:space="preserve">I feel that my background, culture, or identity is respected and valued in my school.</t>
  </si>
  <si>
    <t xml:space="preserve">मुझे लगता है कि मेरे स्कूल में मेरी पृष्ठभूमि, संस्कृति या पहचान का सम्मान किया जाता है और उसे महत्व दिया जाता है।</t>
  </si>
  <si>
    <t xml:space="preserve">IR_5</t>
  </si>
  <si>
    <t xml:space="preserve">I feel that my family is kept informed and involved in my education.</t>
  </si>
  <si>
    <t xml:space="preserve">मुझे लगता है कि मेरे परिवार को मेरी शिक्षा के बारे में सूचित रखा जाता है और उसमें शामिल किया जाता है।</t>
  </si>
  <si>
    <t xml:space="preserve">PC_1</t>
  </si>
  <si>
    <t xml:space="preserve">PC</t>
  </si>
  <si>
    <t xml:space="preserve">I experience a school where teachers work together and this makes my learning better.</t>
  </si>
  <si>
    <t xml:space="preserve">मैं एक ऐसे स्कूल का अनुभव करता हूँ जहाँ शिक्षक एक साथ काम करते हैं और इससे मेरी सीख बेहतर होती है।</t>
  </si>
  <si>
    <t xml:space="preserve">PC_2</t>
  </si>
  <si>
    <t xml:space="preserve">I feel that the way my school is run is purposeful, there is a clear direction and things function well.</t>
  </si>
  <si>
    <t xml:space="preserve">मुझे लगता है कि जिस तरह से मेरा स्कूल चलाया जाता है वह उद्देश्यपूर्ण है, एक स्पष्ट दिशा है और चीजें अच्छी तरह से काम करती हैं।</t>
  </si>
  <si>
    <t xml:space="preserve">PC_3</t>
  </si>
  <si>
    <t xml:space="preserve">I feel that my opinion about school life matters; there are ways for me to give feedback and be heard.</t>
  </si>
  <si>
    <t xml:space="preserve">मुझे लगता है कि स्कूल के जीवन के बारे में मेरी राय मायने रखती है; मेरे लिए फीडबैक देने और सुने जाने के तरीके हैं।</t>
  </si>
  <si>
    <t xml:space="preserve">PC_4</t>
  </si>
  <si>
    <t xml:space="preserve">I feel that time in school is well managed lessons start and end on time and routines are consistent.</t>
  </si>
  <si>
    <t xml:space="preserve">मुझे लगता है कि स्कूल में समय का अच्छी तरह से प्रबंधन किया जाता है; पाठ समय पर शुरू और समाप्त होते हैं और दिनचर्या सुसंगत है।</t>
  </si>
  <si>
    <t xml:space="preserve">PC_5</t>
  </si>
  <si>
    <t xml:space="preserve">I feel proud to be a student at my school.</t>
  </si>
  <si>
    <t xml:space="preserve">मुझे अपने स्कूल का छात्र होने पर गर्व महसूस होता है।</t>
  </si>
  <si>
    <t xml:space="preserve">school_name</t>
  </si>
  <si>
    <t xml:space="preserve">class_grade</t>
  </si>
  <si>
    <t xml:space="preserve">answered_items</t>
  </si>
  <si>
    <t xml:space="preserve">flagged_items</t>
  </si>
  <si>
    <t xml:space="preserve">ER_mean</t>
  </si>
  <si>
    <t xml:space="preserve">RE_mean</t>
  </si>
  <si>
    <t xml:space="preserve">EO_mean</t>
  </si>
  <si>
    <t xml:space="preserve">EM_mean</t>
  </si>
  <si>
    <t xml:space="preserve">DI_mean</t>
  </si>
  <si>
    <t xml:space="preserve">TC_mean</t>
  </si>
  <si>
    <t xml:space="preserve">DP_mean</t>
  </si>
  <si>
    <t xml:space="preserve">DS_mean</t>
  </si>
  <si>
    <t xml:space="preserve">PS_mean</t>
  </si>
  <si>
    <t xml:space="preserve">AS_mean</t>
  </si>
  <si>
    <t xml:space="preserve">IR_mean</t>
  </si>
  <si>
    <t xml:space="preserve">PC_mean</t>
  </si>
  <si>
    <t xml:space="preserve">Research Questionnaire Capture — Excel output</t>
  </si>
  <si>
    <t xml:space="preserve">From Student_Survey_Bilingual.docx, 2026-09-12. 8 demographic questions + 71 items = 79 rows per response.</t>
  </si>
  <si>
    <t xml:space="preserve">RESPONSES — one row per question, per respondent</t>
  </si>
  <si>
    <t xml:space="preserve">question_english / question_hindi</t>
  </si>
  <si>
    <t xml:space="preserve">Exact wording from the questionnaire, both languages.</t>
  </si>
  <si>
    <t xml:space="preserve">The single answer column. Likert items hold 1-5 in bold. Demographic questions hold the text or chosen option.</t>
  </si>
  <si>
    <t xml:space="preserve">When no answer could be recorded, this same cell holds the reason instead, shaded amber in italics.</t>
  </si>
  <si>
    <t xml:space="preserve">A = demographic question, B = questionnaire item.</t>
  </si>
  <si>
    <t xml:space="preserve">WHAT AN AMBER CELL MEANS</t>
  </si>
  <si>
    <t xml:space="preserve">Respondent left it empty. Real data — a genuine non-response.</t>
  </si>
  <si>
    <t xml:space="preserve">unreadable: &lt;detail&gt;</t>
  </si>
  <si>
    <t xml:space="preserve">Parser could not determine a value, and says why. A software limitation, not data.</t>
  </si>
  <si>
    <t xml:space="preserve">conflict: EN=x HI=y</t>
  </si>
  <si>
    <t xml:space="preserve">English and Hindi sides of the form disagree. Needs your eyes.</t>
  </si>
  <si>
    <t xml:space="preserve">Filter the answer column for these words to get your whole review queue in one click.</t>
  </si>
  <si>
    <t xml:space="preserve">The distinction matters: unanswered is a finding you can report, unreadable is a defect to fix.</t>
  </si>
  <si>
    <t xml:space="preserve">SUMMARY — one row per respondent, entirely formulas</t>
  </si>
  <si>
    <t xml:space="preserve">Type a response_id in column A; everything else fills itself from Responses.</t>
  </si>
  <si>
    <t xml:space="preserve">Construct means use AVERAGEIFS, which ignores the amber text cells automatically and averages only real values.</t>
  </si>
  <si>
    <t xml:space="preserve">flagged_items counts how many of the 71 need your attention.</t>
  </si>
  <si>
    <t xml:space="preserve">SCALE — what the numbers in the answer column mean</t>
  </si>
  <si>
    <t xml:space="preserve">5</t>
  </si>
  <si>
    <t xml:space="preserve">Yes, always / Strongly Agree  (हाँ, हमेशा / पूर्णतः सहमत)</t>
  </si>
  <si>
    <t xml:space="preserve">4</t>
  </si>
  <si>
    <t xml:space="preserve">Most of the time / Agree  (ज्यादातर समय / सहमत)</t>
  </si>
  <si>
    <t xml:space="preserve">3</t>
  </si>
  <si>
    <t xml:space="preserve">Sometimes / Neither Agree Nor Disagree  (कभी-कभी / न सहमत न असहमत)</t>
  </si>
  <si>
    <t xml:space="preserve">2</t>
  </si>
  <si>
    <t xml:space="preserve">Rarely / Disagree  (शायद ही कभी / असहमत)</t>
  </si>
  <si>
    <t xml:space="preserve">1</t>
  </si>
  <si>
    <t xml:space="preserve">No, never / Strongly Disagree  (नहीं, कभी नहीं / पूर्णतः असहमत)</t>
  </si>
  <si>
    <t xml:space="preserve">BEFORE YOU USE THIS</t>
  </si>
  <si>
    <t xml:space="preserve">Rows 2-80 are one example response (A-0001) from the real sample student. Delete them.</t>
  </si>
  <si>
    <t xml:space="preserve">It deliberately shows all three amber reasons so you can see how each looks.</t>
  </si>
  <si>
    <t xml:space="preserve">App appends 79 rows per response. Summary is built for 50; copy row 51 down for more.</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</si>
</sst>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10"/>
      <color rgb="FF9C5700"/>
      <name val="Arial"/>
      <family val="0"/>
      <charset val="1"/>
    </font>
    <font>
      <b val="true"/>
      <sz val="10"/>
      <name val="Arial"/>
      <family val="0"/>
      <charset val="1"/>
    </font>
    <font>
      <b val="true"/>
      <sz val="1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B6B"/>
        <bgColor rgb="FF008080"/>
      </patternFill>
    </fill>
    <fill>
      <patternFill patternType="solid">
        <fgColor rgb="FFEAF1F8"/>
        <bgColor rgb="FFFFFFFF"/>
      </patternFill>
    </fill>
    <fill>
      <patternFill patternType="solid">
        <fgColor rgb="FFFFE699"/>
        <bgColor rgb="FFFFF2CC"/>
      </patternFill>
    </fill>
    <fill>
      <patternFill patternType="solid">
        <fgColor rgb="FFFFF2CC"/>
        <bgColor rgb="FFEAF1F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8" fillId="6"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7" fillId="6"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EAF1F8"/>
          <bgColor rgb="FF000000"/>
        </patternFill>
      </fill>
    </dxf>
    <dxf>
      <fill>
        <patternFill patternType="solid">
          <fgColor rgb="FFFFFFFF"/>
          <bgColor rgb="FF000000"/>
        </patternFill>
      </fill>
    </dxf>
    <dxf>
      <fill>
        <patternFill patternType="solid">
          <bgColor rgb="FF000000"/>
        </patternFill>
      </fill>
    </dxf>
    <dxf>
      <fill>
        <patternFill patternType="solid">
          <fgColor rgb="FF2E6B6B"/>
          <bgColor rgb="FF000000"/>
        </patternFill>
      </fill>
    </dxf>
    <dxf>
      <fill>
        <patternFill patternType="solid">
          <fgColor rgb="FFFFE699"/>
          <bgColor rgb="FF000000"/>
        </patternFill>
      </fill>
    </dxf>
    <dxf>
      <fill>
        <patternFill patternType="solid">
          <fgColor rgb="FF9C57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6B6B"/>
      <rgbColor rgb="FFC0C0C0"/>
      <rgbColor rgb="FF808080"/>
      <rgbColor rgb="FF9999FF"/>
      <rgbColor rgb="FF993366"/>
      <rgbColor rgb="FFFFF2CC"/>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12"/>
    <col collapsed="false" customWidth="true" hidden="false" outlineLevel="0" max="5" min="4" style="0" width="6"/>
    <col collapsed="false" customWidth="true" hidden="false" outlineLevel="0" max="6" min="6" style="0" width="14"/>
    <col collapsed="false" customWidth="true" hidden="false" outlineLevel="0" max="7" min="7" style="0" width="11"/>
    <col collapsed="false" customWidth="true" hidden="false" outlineLevel="0" max="9" min="8" style="0" width="76"/>
    <col collapsed="false" customWidth="true" hidden="false" outlineLevel="0" max="10" min="10" style="0" width="34"/>
  </cols>
  <sheetData>
    <row r="1" customFormat="false" ht="30" hidden="false" customHeight="true" outlineLevel="0" collapsed="false">
      <c r="A1" s="1" t="s">
        <v>0</v>
      </c>
      <c r="B1" s="1" t="s">
        <v>1</v>
      </c>
      <c r="C1" s="1" t="s">
        <v>2</v>
      </c>
      <c r="D1" s="1" t="s">
        <v>3</v>
      </c>
      <c r="E1" s="1" t="s">
        <v>4</v>
      </c>
      <c r="F1" s="1" t="s">
        <v>5</v>
      </c>
      <c r="G1" s="1" t="s">
        <v>6</v>
      </c>
      <c r="H1" s="1" t="s">
        <v>7</v>
      </c>
      <c r="I1" s="1" t="s">
        <v>8</v>
      </c>
      <c r="J1" s="2" t="s">
        <v>9</v>
      </c>
    </row>
    <row r="2" customFormat="false" ht="15" hidden="false" customHeight="false" outlineLevel="0" collapsed="false">
      <c r="A2" s="3" t="s">
        <v>10</v>
      </c>
      <c r="B2" s="3" t="s">
        <v>11</v>
      </c>
      <c r="C2" s="3" t="s">
        <v>12</v>
      </c>
      <c r="D2" s="4" t="s">
        <v>11</v>
      </c>
      <c r="E2" s="4" t="n">
        <v>1</v>
      </c>
      <c r="F2" s="3" t="s">
        <v>13</v>
      </c>
      <c r="G2" s="3" t="s">
        <v>14</v>
      </c>
      <c r="H2" s="5" t="s">
        <v>15</v>
      </c>
      <c r="I2" s="5" t="s">
        <v>16</v>
      </c>
      <c r="J2" s="5" t="s">
        <v>17</v>
      </c>
    </row>
    <row r="3" customFormat="false" ht="15" hidden="false" customHeight="false" outlineLevel="0" collapsed="false">
      <c r="A3" s="3" t="s">
        <v>10</v>
      </c>
      <c r="B3" s="3" t="s">
        <v>11</v>
      </c>
      <c r="C3" s="3" t="s">
        <v>12</v>
      </c>
      <c r="D3" s="4" t="s">
        <v>11</v>
      </c>
      <c r="E3" s="4" t="n">
        <v>2</v>
      </c>
      <c r="F3" s="3" t="s">
        <v>18</v>
      </c>
      <c r="G3" s="3" t="s">
        <v>14</v>
      </c>
      <c r="H3" s="5" t="s">
        <v>19</v>
      </c>
      <c r="I3" s="5" t="s">
        <v>20</v>
      </c>
      <c r="J3" s="5" t="s">
        <v>21</v>
      </c>
    </row>
    <row r="4" customFormat="false" ht="15" hidden="false" customHeight="false" outlineLevel="0" collapsed="false">
      <c r="A4" s="3" t="s">
        <v>10</v>
      </c>
      <c r="B4" s="3" t="s">
        <v>11</v>
      </c>
      <c r="C4" s="3" t="s">
        <v>12</v>
      </c>
      <c r="D4" s="4" t="s">
        <v>11</v>
      </c>
      <c r="E4" s="4" t="n">
        <v>3</v>
      </c>
      <c r="F4" s="3" t="s">
        <v>22</v>
      </c>
      <c r="G4" s="3" t="s">
        <v>14</v>
      </c>
      <c r="H4" s="5" t="s">
        <v>23</v>
      </c>
      <c r="I4" s="5" t="s">
        <v>24</v>
      </c>
      <c r="J4" s="5" t="s">
        <v>25</v>
      </c>
    </row>
    <row r="5" customFormat="false" ht="15" hidden="false" customHeight="false" outlineLevel="0" collapsed="false">
      <c r="A5" s="3" t="s">
        <v>10</v>
      </c>
      <c r="B5" s="3" t="s">
        <v>11</v>
      </c>
      <c r="C5" s="3" t="s">
        <v>12</v>
      </c>
      <c r="D5" s="4" t="s">
        <v>11</v>
      </c>
      <c r="E5" s="4" t="n">
        <v>4</v>
      </c>
      <c r="F5" s="3" t="s">
        <v>26</v>
      </c>
      <c r="G5" s="3" t="s">
        <v>14</v>
      </c>
      <c r="H5" s="5" t="s">
        <v>27</v>
      </c>
      <c r="I5" s="5" t="s">
        <v>28</v>
      </c>
      <c r="J5" s="5" t="s">
        <v>29</v>
      </c>
    </row>
    <row r="6" customFormat="false" ht="15" hidden="false" customHeight="false" outlineLevel="0" collapsed="false">
      <c r="A6" s="3" t="s">
        <v>10</v>
      </c>
      <c r="B6" s="3" t="s">
        <v>11</v>
      </c>
      <c r="C6" s="3" t="s">
        <v>12</v>
      </c>
      <c r="D6" s="4" t="s">
        <v>11</v>
      </c>
      <c r="E6" s="4" t="n">
        <v>5</v>
      </c>
      <c r="F6" s="3" t="s">
        <v>30</v>
      </c>
      <c r="G6" s="3" t="s">
        <v>14</v>
      </c>
      <c r="H6" s="5" t="s">
        <v>31</v>
      </c>
      <c r="I6" s="5" t="s">
        <v>32</v>
      </c>
      <c r="J6" s="5" t="s">
        <v>33</v>
      </c>
    </row>
    <row r="7" customFormat="false" ht="15" hidden="false" customHeight="false" outlineLevel="0" collapsed="false">
      <c r="A7" s="3" t="s">
        <v>10</v>
      </c>
      <c r="B7" s="3" t="s">
        <v>11</v>
      </c>
      <c r="C7" s="3" t="s">
        <v>12</v>
      </c>
      <c r="D7" s="4" t="s">
        <v>11</v>
      </c>
      <c r="E7" s="4" t="n">
        <v>6</v>
      </c>
      <c r="F7" s="3" t="s">
        <v>34</v>
      </c>
      <c r="G7" s="3" t="s">
        <v>14</v>
      </c>
      <c r="H7" s="5" t="s">
        <v>35</v>
      </c>
      <c r="I7" s="5" t="s">
        <v>36</v>
      </c>
      <c r="J7" s="6" t="s">
        <v>37</v>
      </c>
    </row>
    <row r="8" customFormat="false" ht="15" hidden="false" customHeight="false" outlineLevel="0" collapsed="false">
      <c r="A8" s="3" t="s">
        <v>10</v>
      </c>
      <c r="B8" s="3" t="s">
        <v>11</v>
      </c>
      <c r="C8" s="3" t="s">
        <v>12</v>
      </c>
      <c r="D8" s="4" t="s">
        <v>11</v>
      </c>
      <c r="E8" s="4" t="n">
        <v>7</v>
      </c>
      <c r="F8" s="3" t="s">
        <v>38</v>
      </c>
      <c r="G8" s="3" t="s">
        <v>14</v>
      </c>
      <c r="H8" s="5" t="s">
        <v>39</v>
      </c>
      <c r="I8" s="5" t="s">
        <v>40</v>
      </c>
      <c r="J8" s="6" t="s">
        <v>37</v>
      </c>
    </row>
    <row r="9" customFormat="false" ht="15" hidden="false" customHeight="false" outlineLevel="0" collapsed="false">
      <c r="A9" s="3" t="s">
        <v>10</v>
      </c>
      <c r="B9" s="3" t="s">
        <v>11</v>
      </c>
      <c r="C9" s="3" t="s">
        <v>12</v>
      </c>
      <c r="D9" s="4" t="s">
        <v>11</v>
      </c>
      <c r="E9" s="4" t="n">
        <v>8</v>
      </c>
      <c r="F9" s="3" t="s">
        <v>41</v>
      </c>
      <c r="G9" s="3" t="s">
        <v>14</v>
      </c>
      <c r="H9" s="5" t="s">
        <v>42</v>
      </c>
      <c r="I9" s="5" t="s">
        <v>43</v>
      </c>
      <c r="J9" s="5" t="s">
        <v>44</v>
      </c>
    </row>
    <row r="10" customFormat="false" ht="15" hidden="false" customHeight="false" outlineLevel="0" collapsed="false">
      <c r="A10" s="3" t="s">
        <v>10</v>
      </c>
      <c r="B10" s="3" t="s">
        <v>11</v>
      </c>
      <c r="C10" s="3" t="s">
        <v>12</v>
      </c>
      <c r="D10" s="4" t="s">
        <v>45</v>
      </c>
      <c r="E10" s="4" t="n">
        <v>9</v>
      </c>
      <c r="F10" s="3" t="s">
        <v>46</v>
      </c>
      <c r="G10" s="3" t="s">
        <v>47</v>
      </c>
      <c r="H10" s="5" t="s">
        <v>48</v>
      </c>
      <c r="I10" s="5" t="s">
        <v>49</v>
      </c>
      <c r="J10" s="7" t="n">
        <v>5</v>
      </c>
    </row>
    <row r="11" customFormat="false" ht="15" hidden="false" customHeight="false" outlineLevel="0" collapsed="false">
      <c r="A11" s="3" t="s">
        <v>10</v>
      </c>
      <c r="B11" s="3" t="s">
        <v>11</v>
      </c>
      <c r="C11" s="3" t="s">
        <v>12</v>
      </c>
      <c r="D11" s="4" t="s">
        <v>45</v>
      </c>
      <c r="E11" s="4" t="n">
        <v>10</v>
      </c>
      <c r="F11" s="3" t="s">
        <v>50</v>
      </c>
      <c r="G11" s="3" t="s">
        <v>47</v>
      </c>
      <c r="H11" s="5" t="s">
        <v>51</v>
      </c>
      <c r="I11" s="5" t="s">
        <v>52</v>
      </c>
      <c r="J11" s="7" t="n">
        <v>4</v>
      </c>
    </row>
    <row r="12" customFormat="false" ht="23.85" hidden="false" customHeight="false" outlineLevel="0" collapsed="false">
      <c r="A12" s="3" t="s">
        <v>10</v>
      </c>
      <c r="B12" s="3" t="s">
        <v>11</v>
      </c>
      <c r="C12" s="3" t="s">
        <v>12</v>
      </c>
      <c r="D12" s="4" t="s">
        <v>45</v>
      </c>
      <c r="E12" s="4" t="n">
        <v>11</v>
      </c>
      <c r="F12" s="3" t="s">
        <v>53</v>
      </c>
      <c r="G12" s="3" t="s">
        <v>47</v>
      </c>
      <c r="H12" s="5" t="s">
        <v>54</v>
      </c>
      <c r="I12" s="5" t="s">
        <v>55</v>
      </c>
      <c r="J12" s="6" t="s">
        <v>56</v>
      </c>
    </row>
    <row r="13" customFormat="false" ht="15" hidden="false" customHeight="false" outlineLevel="0" collapsed="false">
      <c r="A13" s="3" t="s">
        <v>10</v>
      </c>
      <c r="B13" s="3" t="s">
        <v>11</v>
      </c>
      <c r="C13" s="3" t="s">
        <v>12</v>
      </c>
      <c r="D13" s="4" t="s">
        <v>45</v>
      </c>
      <c r="E13" s="4" t="n">
        <v>12</v>
      </c>
      <c r="F13" s="3" t="s">
        <v>57</v>
      </c>
      <c r="G13" s="3" t="s">
        <v>47</v>
      </c>
      <c r="H13" s="5" t="s">
        <v>58</v>
      </c>
      <c r="I13" s="5" t="s">
        <v>59</v>
      </c>
      <c r="J13" s="7" t="n">
        <v>5</v>
      </c>
    </row>
    <row r="14" customFormat="false" ht="23.85" hidden="false" customHeight="false" outlineLevel="0" collapsed="false">
      <c r="A14" s="3" t="s">
        <v>10</v>
      </c>
      <c r="B14" s="3" t="s">
        <v>11</v>
      </c>
      <c r="C14" s="3" t="s">
        <v>12</v>
      </c>
      <c r="D14" s="4" t="s">
        <v>45</v>
      </c>
      <c r="E14" s="4" t="n">
        <v>13</v>
      </c>
      <c r="F14" s="3" t="s">
        <v>60</v>
      </c>
      <c r="G14" s="3" t="s">
        <v>47</v>
      </c>
      <c r="H14" s="5" t="s">
        <v>61</v>
      </c>
      <c r="I14" s="5" t="s">
        <v>62</v>
      </c>
      <c r="J14" s="7" t="n">
        <v>4</v>
      </c>
    </row>
    <row r="15" customFormat="false" ht="23.85" hidden="false" customHeight="false" outlineLevel="0" collapsed="false">
      <c r="A15" s="3" t="s">
        <v>10</v>
      </c>
      <c r="B15" s="3" t="s">
        <v>11</v>
      </c>
      <c r="C15" s="3" t="s">
        <v>12</v>
      </c>
      <c r="D15" s="4" t="s">
        <v>45</v>
      </c>
      <c r="E15" s="4" t="n">
        <v>14</v>
      </c>
      <c r="F15" s="3" t="s">
        <v>63</v>
      </c>
      <c r="G15" s="3" t="s">
        <v>47</v>
      </c>
      <c r="H15" s="5" t="s">
        <v>64</v>
      </c>
      <c r="I15" s="5" t="s">
        <v>65</v>
      </c>
      <c r="J15" s="7" t="n">
        <v>4</v>
      </c>
    </row>
    <row r="16" customFormat="false" ht="23.85" hidden="false" customHeight="false" outlineLevel="0" collapsed="false">
      <c r="A16" s="3" t="s">
        <v>10</v>
      </c>
      <c r="B16" s="3" t="s">
        <v>11</v>
      </c>
      <c r="C16" s="3" t="s">
        <v>12</v>
      </c>
      <c r="D16" s="4" t="s">
        <v>45</v>
      </c>
      <c r="E16" s="4" t="n">
        <v>15</v>
      </c>
      <c r="F16" s="3" t="s">
        <v>66</v>
      </c>
      <c r="G16" s="3" t="s">
        <v>67</v>
      </c>
      <c r="H16" s="5" t="s">
        <v>68</v>
      </c>
      <c r="I16" s="5" t="s">
        <v>69</v>
      </c>
      <c r="J16" s="7" t="n">
        <v>4</v>
      </c>
    </row>
    <row r="17" customFormat="false" ht="23.85" hidden="false" customHeight="false" outlineLevel="0" collapsed="false">
      <c r="A17" s="3" t="s">
        <v>10</v>
      </c>
      <c r="B17" s="3" t="s">
        <v>11</v>
      </c>
      <c r="C17" s="3" t="s">
        <v>12</v>
      </c>
      <c r="D17" s="4" t="s">
        <v>45</v>
      </c>
      <c r="E17" s="4" t="n">
        <v>16</v>
      </c>
      <c r="F17" s="3" t="s">
        <v>70</v>
      </c>
      <c r="G17" s="3" t="s">
        <v>67</v>
      </c>
      <c r="H17" s="5" t="s">
        <v>71</v>
      </c>
      <c r="I17" s="5" t="s">
        <v>72</v>
      </c>
      <c r="J17" s="7" t="n">
        <v>4</v>
      </c>
    </row>
    <row r="18" customFormat="false" ht="15" hidden="false" customHeight="false" outlineLevel="0" collapsed="false">
      <c r="A18" s="3" t="s">
        <v>10</v>
      </c>
      <c r="B18" s="3" t="s">
        <v>11</v>
      </c>
      <c r="C18" s="3" t="s">
        <v>12</v>
      </c>
      <c r="D18" s="4" t="s">
        <v>45</v>
      </c>
      <c r="E18" s="4" t="n">
        <v>17</v>
      </c>
      <c r="F18" s="3" t="s">
        <v>73</v>
      </c>
      <c r="G18" s="3" t="s">
        <v>67</v>
      </c>
      <c r="H18" s="5" t="s">
        <v>74</v>
      </c>
      <c r="I18" s="5" t="s">
        <v>75</v>
      </c>
      <c r="J18" s="7" t="n">
        <v>4</v>
      </c>
    </row>
    <row r="19" customFormat="false" ht="23.85" hidden="false" customHeight="false" outlineLevel="0" collapsed="false">
      <c r="A19" s="3" t="s">
        <v>10</v>
      </c>
      <c r="B19" s="3" t="s">
        <v>11</v>
      </c>
      <c r="C19" s="3" t="s">
        <v>12</v>
      </c>
      <c r="D19" s="4" t="s">
        <v>45</v>
      </c>
      <c r="E19" s="4" t="n">
        <v>18</v>
      </c>
      <c r="F19" s="3" t="s">
        <v>76</v>
      </c>
      <c r="G19" s="3" t="s">
        <v>67</v>
      </c>
      <c r="H19" s="5" t="s">
        <v>77</v>
      </c>
      <c r="I19" s="5" t="s">
        <v>78</v>
      </c>
      <c r="J19" s="7" t="n">
        <v>4</v>
      </c>
    </row>
    <row r="20" customFormat="false" ht="23.85" hidden="false" customHeight="false" outlineLevel="0" collapsed="false">
      <c r="A20" s="3" t="s">
        <v>10</v>
      </c>
      <c r="B20" s="3" t="s">
        <v>11</v>
      </c>
      <c r="C20" s="3" t="s">
        <v>12</v>
      </c>
      <c r="D20" s="4" t="s">
        <v>45</v>
      </c>
      <c r="E20" s="4" t="n">
        <v>19</v>
      </c>
      <c r="F20" s="3" t="s">
        <v>79</v>
      </c>
      <c r="G20" s="3" t="s">
        <v>67</v>
      </c>
      <c r="H20" s="5" t="s">
        <v>80</v>
      </c>
      <c r="I20" s="5" t="s">
        <v>81</v>
      </c>
      <c r="J20" s="7" t="n">
        <v>3</v>
      </c>
    </row>
    <row r="21" customFormat="false" ht="23.85" hidden="false" customHeight="false" outlineLevel="0" collapsed="false">
      <c r="A21" s="3" t="s">
        <v>10</v>
      </c>
      <c r="B21" s="3" t="s">
        <v>11</v>
      </c>
      <c r="C21" s="3" t="s">
        <v>12</v>
      </c>
      <c r="D21" s="4" t="s">
        <v>45</v>
      </c>
      <c r="E21" s="4" t="n">
        <v>20</v>
      </c>
      <c r="F21" s="3" t="s">
        <v>82</v>
      </c>
      <c r="G21" s="3" t="s">
        <v>67</v>
      </c>
      <c r="H21" s="5" t="s">
        <v>83</v>
      </c>
      <c r="I21" s="5" t="s">
        <v>84</v>
      </c>
      <c r="J21" s="7" t="n">
        <v>4</v>
      </c>
    </row>
    <row r="22" customFormat="false" ht="15" hidden="false" customHeight="false" outlineLevel="0" collapsed="false">
      <c r="A22" s="3" t="s">
        <v>10</v>
      </c>
      <c r="B22" s="3" t="s">
        <v>11</v>
      </c>
      <c r="C22" s="3" t="s">
        <v>12</v>
      </c>
      <c r="D22" s="4" t="s">
        <v>45</v>
      </c>
      <c r="E22" s="4" t="n">
        <v>21</v>
      </c>
      <c r="F22" s="3" t="s">
        <v>85</v>
      </c>
      <c r="G22" s="3" t="s">
        <v>86</v>
      </c>
      <c r="H22" s="5" t="s">
        <v>87</v>
      </c>
      <c r="I22" s="5" t="s">
        <v>88</v>
      </c>
      <c r="J22" s="7" t="n">
        <v>5</v>
      </c>
    </row>
    <row r="23" customFormat="false" ht="23.85" hidden="false" customHeight="false" outlineLevel="0" collapsed="false">
      <c r="A23" s="3" t="s">
        <v>10</v>
      </c>
      <c r="B23" s="3" t="s">
        <v>11</v>
      </c>
      <c r="C23" s="3" t="s">
        <v>12</v>
      </c>
      <c r="D23" s="4" t="s">
        <v>45</v>
      </c>
      <c r="E23" s="4" t="n">
        <v>22</v>
      </c>
      <c r="F23" s="3" t="s">
        <v>89</v>
      </c>
      <c r="G23" s="3" t="s">
        <v>86</v>
      </c>
      <c r="H23" s="5" t="s">
        <v>90</v>
      </c>
      <c r="I23" s="5" t="s">
        <v>91</v>
      </c>
      <c r="J23" s="7" t="n">
        <v>4</v>
      </c>
    </row>
    <row r="24" customFormat="false" ht="15" hidden="false" customHeight="false" outlineLevel="0" collapsed="false">
      <c r="A24" s="3" t="s">
        <v>10</v>
      </c>
      <c r="B24" s="3" t="s">
        <v>11</v>
      </c>
      <c r="C24" s="3" t="s">
        <v>12</v>
      </c>
      <c r="D24" s="4" t="s">
        <v>45</v>
      </c>
      <c r="E24" s="4" t="n">
        <v>23</v>
      </c>
      <c r="F24" s="3" t="s">
        <v>92</v>
      </c>
      <c r="G24" s="3" t="s">
        <v>86</v>
      </c>
      <c r="H24" s="5" t="s">
        <v>93</v>
      </c>
      <c r="I24" s="5" t="s">
        <v>94</v>
      </c>
      <c r="J24" s="7" t="n">
        <v>4</v>
      </c>
    </row>
    <row r="25" customFormat="false" ht="23.85" hidden="false" customHeight="false" outlineLevel="0" collapsed="false">
      <c r="A25" s="3" t="s">
        <v>10</v>
      </c>
      <c r="B25" s="3" t="s">
        <v>11</v>
      </c>
      <c r="C25" s="3" t="s">
        <v>12</v>
      </c>
      <c r="D25" s="4" t="s">
        <v>45</v>
      </c>
      <c r="E25" s="4" t="n">
        <v>24</v>
      </c>
      <c r="F25" s="3" t="s">
        <v>95</v>
      </c>
      <c r="G25" s="3" t="s">
        <v>86</v>
      </c>
      <c r="H25" s="5" t="s">
        <v>96</v>
      </c>
      <c r="I25" s="5" t="s">
        <v>97</v>
      </c>
      <c r="J25" s="7" t="n">
        <v>4</v>
      </c>
    </row>
    <row r="26" customFormat="false" ht="23.85" hidden="false" customHeight="false" outlineLevel="0" collapsed="false">
      <c r="A26" s="3" t="s">
        <v>10</v>
      </c>
      <c r="B26" s="3" t="s">
        <v>11</v>
      </c>
      <c r="C26" s="3" t="s">
        <v>12</v>
      </c>
      <c r="D26" s="4" t="s">
        <v>45</v>
      </c>
      <c r="E26" s="4" t="n">
        <v>25</v>
      </c>
      <c r="F26" s="3" t="s">
        <v>98</v>
      </c>
      <c r="G26" s="3" t="s">
        <v>86</v>
      </c>
      <c r="H26" s="5" t="s">
        <v>99</v>
      </c>
      <c r="I26" s="5" t="s">
        <v>100</v>
      </c>
      <c r="J26" s="7" t="n">
        <v>3</v>
      </c>
    </row>
    <row r="27" customFormat="false" ht="23.85" hidden="false" customHeight="false" outlineLevel="0" collapsed="false">
      <c r="A27" s="3" t="s">
        <v>10</v>
      </c>
      <c r="B27" s="3" t="s">
        <v>11</v>
      </c>
      <c r="C27" s="3" t="s">
        <v>12</v>
      </c>
      <c r="D27" s="4" t="s">
        <v>45</v>
      </c>
      <c r="E27" s="4" t="n">
        <v>26</v>
      </c>
      <c r="F27" s="3" t="s">
        <v>101</v>
      </c>
      <c r="G27" s="3" t="s">
        <v>86</v>
      </c>
      <c r="H27" s="5" t="s">
        <v>102</v>
      </c>
      <c r="I27" s="5" t="s">
        <v>103</v>
      </c>
      <c r="J27" s="7" t="n">
        <v>4</v>
      </c>
    </row>
    <row r="28" customFormat="false" ht="23.85" hidden="false" customHeight="false" outlineLevel="0" collapsed="false">
      <c r="A28" s="3" t="s">
        <v>10</v>
      </c>
      <c r="B28" s="3" t="s">
        <v>11</v>
      </c>
      <c r="C28" s="3" t="s">
        <v>12</v>
      </c>
      <c r="D28" s="4" t="s">
        <v>45</v>
      </c>
      <c r="E28" s="4" t="n">
        <v>27</v>
      </c>
      <c r="F28" s="3" t="s">
        <v>104</v>
      </c>
      <c r="G28" s="3" t="s">
        <v>86</v>
      </c>
      <c r="H28" s="5" t="s">
        <v>105</v>
      </c>
      <c r="I28" s="5" t="s">
        <v>106</v>
      </c>
      <c r="J28" s="7" t="n">
        <v>5</v>
      </c>
    </row>
    <row r="29" customFormat="false" ht="15" hidden="false" customHeight="false" outlineLevel="0" collapsed="false">
      <c r="A29" s="3" t="s">
        <v>10</v>
      </c>
      <c r="B29" s="3" t="s">
        <v>11</v>
      </c>
      <c r="C29" s="3" t="s">
        <v>12</v>
      </c>
      <c r="D29" s="4" t="s">
        <v>45</v>
      </c>
      <c r="E29" s="4" t="n">
        <v>28</v>
      </c>
      <c r="F29" s="3" t="s">
        <v>107</v>
      </c>
      <c r="G29" s="3" t="s">
        <v>108</v>
      </c>
      <c r="H29" s="5" t="s">
        <v>109</v>
      </c>
      <c r="I29" s="5" t="s">
        <v>110</v>
      </c>
      <c r="J29" s="7" t="n">
        <v>3</v>
      </c>
    </row>
    <row r="30" customFormat="false" ht="23.85" hidden="false" customHeight="false" outlineLevel="0" collapsed="false">
      <c r="A30" s="3" t="s">
        <v>10</v>
      </c>
      <c r="B30" s="3" t="s">
        <v>11</v>
      </c>
      <c r="C30" s="3" t="s">
        <v>12</v>
      </c>
      <c r="D30" s="4" t="s">
        <v>45</v>
      </c>
      <c r="E30" s="4" t="n">
        <v>29</v>
      </c>
      <c r="F30" s="3" t="s">
        <v>111</v>
      </c>
      <c r="G30" s="3" t="s">
        <v>108</v>
      </c>
      <c r="H30" s="5" t="s">
        <v>112</v>
      </c>
      <c r="I30" s="5" t="s">
        <v>113</v>
      </c>
      <c r="J30" s="7" t="n">
        <v>5</v>
      </c>
    </row>
    <row r="31" customFormat="false" ht="23.85" hidden="false" customHeight="false" outlineLevel="0" collapsed="false">
      <c r="A31" s="3" t="s">
        <v>10</v>
      </c>
      <c r="B31" s="3" t="s">
        <v>11</v>
      </c>
      <c r="C31" s="3" t="s">
        <v>12</v>
      </c>
      <c r="D31" s="4" t="s">
        <v>45</v>
      </c>
      <c r="E31" s="4" t="n">
        <v>30</v>
      </c>
      <c r="F31" s="3" t="s">
        <v>114</v>
      </c>
      <c r="G31" s="3" t="s">
        <v>108</v>
      </c>
      <c r="H31" s="5" t="s">
        <v>115</v>
      </c>
      <c r="I31" s="5" t="s">
        <v>116</v>
      </c>
      <c r="J31" s="7" t="n">
        <v>4</v>
      </c>
    </row>
    <row r="32" customFormat="false" ht="23.85" hidden="false" customHeight="false" outlineLevel="0" collapsed="false">
      <c r="A32" s="3" t="s">
        <v>10</v>
      </c>
      <c r="B32" s="3" t="s">
        <v>11</v>
      </c>
      <c r="C32" s="3" t="s">
        <v>12</v>
      </c>
      <c r="D32" s="4" t="s">
        <v>45</v>
      </c>
      <c r="E32" s="4" t="n">
        <v>31</v>
      </c>
      <c r="F32" s="3" t="s">
        <v>117</v>
      </c>
      <c r="G32" s="3" t="s">
        <v>108</v>
      </c>
      <c r="H32" s="5" t="s">
        <v>118</v>
      </c>
      <c r="I32" s="5" t="s">
        <v>119</v>
      </c>
      <c r="J32" s="7" t="n">
        <v>4</v>
      </c>
    </row>
    <row r="33" customFormat="false" ht="23.85" hidden="false" customHeight="false" outlineLevel="0" collapsed="false">
      <c r="A33" s="3" t="s">
        <v>10</v>
      </c>
      <c r="B33" s="3" t="s">
        <v>11</v>
      </c>
      <c r="C33" s="3" t="s">
        <v>12</v>
      </c>
      <c r="D33" s="4" t="s">
        <v>45</v>
      </c>
      <c r="E33" s="4" t="n">
        <v>32</v>
      </c>
      <c r="F33" s="3" t="s">
        <v>120</v>
      </c>
      <c r="G33" s="3" t="s">
        <v>108</v>
      </c>
      <c r="H33" s="5" t="s">
        <v>121</v>
      </c>
      <c r="I33" s="5" t="s">
        <v>122</v>
      </c>
      <c r="J33" s="7" t="n">
        <v>5</v>
      </c>
    </row>
    <row r="34" customFormat="false" ht="23.85" hidden="false" customHeight="false" outlineLevel="0" collapsed="false">
      <c r="A34" s="3" t="s">
        <v>10</v>
      </c>
      <c r="B34" s="3" t="s">
        <v>11</v>
      </c>
      <c r="C34" s="3" t="s">
        <v>12</v>
      </c>
      <c r="D34" s="4" t="s">
        <v>45</v>
      </c>
      <c r="E34" s="4" t="n">
        <v>33</v>
      </c>
      <c r="F34" s="3" t="s">
        <v>123</v>
      </c>
      <c r="G34" s="3" t="s">
        <v>108</v>
      </c>
      <c r="H34" s="5" t="s">
        <v>124</v>
      </c>
      <c r="I34" s="5" t="s">
        <v>125</v>
      </c>
      <c r="J34" s="7" t="n">
        <v>4</v>
      </c>
    </row>
    <row r="35" customFormat="false" ht="15" hidden="false" customHeight="false" outlineLevel="0" collapsed="false">
      <c r="A35" s="3" t="s">
        <v>10</v>
      </c>
      <c r="B35" s="3" t="s">
        <v>11</v>
      </c>
      <c r="C35" s="3" t="s">
        <v>12</v>
      </c>
      <c r="D35" s="4" t="s">
        <v>45</v>
      </c>
      <c r="E35" s="4" t="n">
        <v>34</v>
      </c>
      <c r="F35" s="3" t="s">
        <v>126</v>
      </c>
      <c r="G35" s="3" t="s">
        <v>127</v>
      </c>
      <c r="H35" s="5" t="s">
        <v>128</v>
      </c>
      <c r="I35" s="5" t="s">
        <v>129</v>
      </c>
      <c r="J35" s="7" t="n">
        <v>4</v>
      </c>
    </row>
    <row r="36" customFormat="false" ht="15" hidden="false" customHeight="false" outlineLevel="0" collapsed="false">
      <c r="A36" s="3" t="s">
        <v>10</v>
      </c>
      <c r="B36" s="3" t="s">
        <v>11</v>
      </c>
      <c r="C36" s="3" t="s">
        <v>12</v>
      </c>
      <c r="D36" s="4" t="s">
        <v>45</v>
      </c>
      <c r="E36" s="4" t="n">
        <v>35</v>
      </c>
      <c r="F36" s="3" t="s">
        <v>130</v>
      </c>
      <c r="G36" s="3" t="s">
        <v>127</v>
      </c>
      <c r="H36" s="5" t="s">
        <v>131</v>
      </c>
      <c r="I36" s="5" t="s">
        <v>132</v>
      </c>
      <c r="J36" s="6" t="s">
        <v>133</v>
      </c>
    </row>
    <row r="37" customFormat="false" ht="23.85" hidden="false" customHeight="false" outlineLevel="0" collapsed="false">
      <c r="A37" s="3" t="s">
        <v>10</v>
      </c>
      <c r="B37" s="3" t="s">
        <v>11</v>
      </c>
      <c r="C37" s="3" t="s">
        <v>12</v>
      </c>
      <c r="D37" s="4" t="s">
        <v>45</v>
      </c>
      <c r="E37" s="4" t="n">
        <v>36</v>
      </c>
      <c r="F37" s="3" t="s">
        <v>134</v>
      </c>
      <c r="G37" s="3" t="s">
        <v>127</v>
      </c>
      <c r="H37" s="5" t="s">
        <v>135</v>
      </c>
      <c r="I37" s="5" t="s">
        <v>136</v>
      </c>
      <c r="J37" s="7" t="n">
        <v>2</v>
      </c>
    </row>
    <row r="38" customFormat="false" ht="23.85" hidden="false" customHeight="false" outlineLevel="0" collapsed="false">
      <c r="A38" s="3" t="s">
        <v>10</v>
      </c>
      <c r="B38" s="3" t="s">
        <v>11</v>
      </c>
      <c r="C38" s="3" t="s">
        <v>12</v>
      </c>
      <c r="D38" s="4" t="s">
        <v>45</v>
      </c>
      <c r="E38" s="4" t="n">
        <v>37</v>
      </c>
      <c r="F38" s="3" t="s">
        <v>137</v>
      </c>
      <c r="G38" s="3" t="s">
        <v>127</v>
      </c>
      <c r="H38" s="5" t="s">
        <v>138</v>
      </c>
      <c r="I38" s="5" t="s">
        <v>139</v>
      </c>
      <c r="J38" s="7" t="n">
        <v>3</v>
      </c>
    </row>
    <row r="39" customFormat="false" ht="15" hidden="false" customHeight="false" outlineLevel="0" collapsed="false">
      <c r="A39" s="3" t="s">
        <v>10</v>
      </c>
      <c r="B39" s="3" t="s">
        <v>11</v>
      </c>
      <c r="C39" s="3" t="s">
        <v>12</v>
      </c>
      <c r="D39" s="4" t="s">
        <v>45</v>
      </c>
      <c r="E39" s="4" t="n">
        <v>38</v>
      </c>
      <c r="F39" s="3" t="s">
        <v>140</v>
      </c>
      <c r="G39" s="3" t="s">
        <v>127</v>
      </c>
      <c r="H39" s="5" t="s">
        <v>141</v>
      </c>
      <c r="I39" s="5" t="s">
        <v>142</v>
      </c>
      <c r="J39" s="7" t="n">
        <v>3</v>
      </c>
    </row>
    <row r="40" customFormat="false" ht="23.85" hidden="false" customHeight="false" outlineLevel="0" collapsed="false">
      <c r="A40" s="3" t="s">
        <v>10</v>
      </c>
      <c r="B40" s="3" t="s">
        <v>11</v>
      </c>
      <c r="C40" s="3" t="s">
        <v>12</v>
      </c>
      <c r="D40" s="4" t="s">
        <v>45</v>
      </c>
      <c r="E40" s="4" t="n">
        <v>39</v>
      </c>
      <c r="F40" s="3" t="s">
        <v>143</v>
      </c>
      <c r="G40" s="3" t="s">
        <v>127</v>
      </c>
      <c r="H40" s="5" t="s">
        <v>144</v>
      </c>
      <c r="I40" s="5" t="s">
        <v>145</v>
      </c>
      <c r="J40" s="7" t="n">
        <v>3</v>
      </c>
    </row>
    <row r="41" customFormat="false" ht="23.85" hidden="false" customHeight="false" outlineLevel="0" collapsed="false">
      <c r="A41" s="3" t="s">
        <v>10</v>
      </c>
      <c r="B41" s="3" t="s">
        <v>11</v>
      </c>
      <c r="C41" s="3" t="s">
        <v>12</v>
      </c>
      <c r="D41" s="4" t="s">
        <v>45</v>
      </c>
      <c r="E41" s="4" t="n">
        <v>40</v>
      </c>
      <c r="F41" s="3" t="s">
        <v>146</v>
      </c>
      <c r="G41" s="3" t="s">
        <v>147</v>
      </c>
      <c r="H41" s="5" t="s">
        <v>148</v>
      </c>
      <c r="I41" s="5" t="s">
        <v>149</v>
      </c>
      <c r="J41" s="7" t="n">
        <v>4</v>
      </c>
    </row>
    <row r="42" customFormat="false" ht="23.85" hidden="false" customHeight="false" outlineLevel="0" collapsed="false">
      <c r="A42" s="3" t="s">
        <v>10</v>
      </c>
      <c r="B42" s="3" t="s">
        <v>11</v>
      </c>
      <c r="C42" s="3" t="s">
        <v>12</v>
      </c>
      <c r="D42" s="4" t="s">
        <v>45</v>
      </c>
      <c r="E42" s="4" t="n">
        <v>41</v>
      </c>
      <c r="F42" s="3" t="s">
        <v>150</v>
      </c>
      <c r="G42" s="3" t="s">
        <v>147</v>
      </c>
      <c r="H42" s="5" t="s">
        <v>151</v>
      </c>
      <c r="I42" s="5" t="s">
        <v>152</v>
      </c>
      <c r="J42" s="7" t="n">
        <v>3</v>
      </c>
    </row>
    <row r="43" customFormat="false" ht="15" hidden="false" customHeight="false" outlineLevel="0" collapsed="false">
      <c r="A43" s="3" t="s">
        <v>10</v>
      </c>
      <c r="B43" s="3" t="s">
        <v>11</v>
      </c>
      <c r="C43" s="3" t="s">
        <v>12</v>
      </c>
      <c r="D43" s="4" t="s">
        <v>45</v>
      </c>
      <c r="E43" s="4" t="n">
        <v>42</v>
      </c>
      <c r="F43" s="3" t="s">
        <v>153</v>
      </c>
      <c r="G43" s="3" t="s">
        <v>147</v>
      </c>
      <c r="H43" s="5" t="s">
        <v>154</v>
      </c>
      <c r="I43" s="5" t="s">
        <v>155</v>
      </c>
      <c r="J43" s="7" t="n">
        <v>3</v>
      </c>
    </row>
    <row r="44" customFormat="false" ht="23.85" hidden="false" customHeight="false" outlineLevel="0" collapsed="false">
      <c r="A44" s="3" t="s">
        <v>10</v>
      </c>
      <c r="B44" s="3" t="s">
        <v>11</v>
      </c>
      <c r="C44" s="3" t="s">
        <v>12</v>
      </c>
      <c r="D44" s="4" t="s">
        <v>45</v>
      </c>
      <c r="E44" s="4" t="n">
        <v>43</v>
      </c>
      <c r="F44" s="3" t="s">
        <v>156</v>
      </c>
      <c r="G44" s="3" t="s">
        <v>147</v>
      </c>
      <c r="H44" s="5" t="s">
        <v>157</v>
      </c>
      <c r="I44" s="5" t="s">
        <v>158</v>
      </c>
      <c r="J44" s="7" t="n">
        <v>2</v>
      </c>
    </row>
    <row r="45" customFormat="false" ht="23.85" hidden="false" customHeight="false" outlineLevel="0" collapsed="false">
      <c r="A45" s="3" t="s">
        <v>10</v>
      </c>
      <c r="B45" s="3" t="s">
        <v>11</v>
      </c>
      <c r="C45" s="3" t="s">
        <v>12</v>
      </c>
      <c r="D45" s="4" t="s">
        <v>45</v>
      </c>
      <c r="E45" s="4" t="n">
        <v>44</v>
      </c>
      <c r="F45" s="3" t="s">
        <v>159</v>
      </c>
      <c r="G45" s="3" t="s">
        <v>147</v>
      </c>
      <c r="H45" s="5" t="s">
        <v>160</v>
      </c>
      <c r="I45" s="5" t="s">
        <v>161</v>
      </c>
      <c r="J45" s="7" t="n">
        <v>5</v>
      </c>
    </row>
    <row r="46" customFormat="false" ht="23.85" hidden="false" customHeight="false" outlineLevel="0" collapsed="false">
      <c r="A46" s="3" t="s">
        <v>10</v>
      </c>
      <c r="B46" s="3" t="s">
        <v>11</v>
      </c>
      <c r="C46" s="3" t="s">
        <v>12</v>
      </c>
      <c r="D46" s="4" t="s">
        <v>45</v>
      </c>
      <c r="E46" s="4" t="n">
        <v>45</v>
      </c>
      <c r="F46" s="3" t="s">
        <v>162</v>
      </c>
      <c r="G46" s="3" t="s">
        <v>147</v>
      </c>
      <c r="H46" s="5" t="s">
        <v>163</v>
      </c>
      <c r="I46" s="5" t="s">
        <v>164</v>
      </c>
      <c r="J46" s="7" t="n">
        <v>2</v>
      </c>
    </row>
    <row r="47" customFormat="false" ht="23.85" hidden="false" customHeight="false" outlineLevel="0" collapsed="false">
      <c r="A47" s="3" t="s">
        <v>10</v>
      </c>
      <c r="B47" s="3" t="s">
        <v>11</v>
      </c>
      <c r="C47" s="3" t="s">
        <v>12</v>
      </c>
      <c r="D47" s="4" t="s">
        <v>45</v>
      </c>
      <c r="E47" s="4" t="n">
        <v>46</v>
      </c>
      <c r="F47" s="3" t="s">
        <v>165</v>
      </c>
      <c r="G47" s="3" t="s">
        <v>166</v>
      </c>
      <c r="H47" s="5" t="s">
        <v>167</v>
      </c>
      <c r="I47" s="5" t="s">
        <v>168</v>
      </c>
      <c r="J47" s="7" t="n">
        <v>3</v>
      </c>
    </row>
    <row r="48" customFormat="false" ht="23.85" hidden="false" customHeight="false" outlineLevel="0" collapsed="false">
      <c r="A48" s="3" t="s">
        <v>10</v>
      </c>
      <c r="B48" s="3" t="s">
        <v>11</v>
      </c>
      <c r="C48" s="3" t="s">
        <v>12</v>
      </c>
      <c r="D48" s="4" t="s">
        <v>45</v>
      </c>
      <c r="E48" s="4" t="n">
        <v>47</v>
      </c>
      <c r="F48" s="3" t="s">
        <v>169</v>
      </c>
      <c r="G48" s="3" t="s">
        <v>166</v>
      </c>
      <c r="H48" s="5" t="s">
        <v>170</v>
      </c>
      <c r="I48" s="5" t="s">
        <v>171</v>
      </c>
      <c r="J48" s="7" t="n">
        <v>3</v>
      </c>
    </row>
    <row r="49" customFormat="false" ht="23.85" hidden="false" customHeight="false" outlineLevel="0" collapsed="false">
      <c r="A49" s="3" t="s">
        <v>10</v>
      </c>
      <c r="B49" s="3" t="s">
        <v>11</v>
      </c>
      <c r="C49" s="3" t="s">
        <v>12</v>
      </c>
      <c r="D49" s="4" t="s">
        <v>45</v>
      </c>
      <c r="E49" s="4" t="n">
        <v>48</v>
      </c>
      <c r="F49" s="3" t="s">
        <v>172</v>
      </c>
      <c r="G49" s="3" t="s">
        <v>166</v>
      </c>
      <c r="H49" s="5" t="s">
        <v>173</v>
      </c>
      <c r="I49" s="5" t="s">
        <v>174</v>
      </c>
      <c r="J49" s="7" t="n">
        <v>3</v>
      </c>
    </row>
    <row r="50" customFormat="false" ht="23.85" hidden="false" customHeight="false" outlineLevel="0" collapsed="false">
      <c r="A50" s="3" t="s">
        <v>10</v>
      </c>
      <c r="B50" s="3" t="s">
        <v>11</v>
      </c>
      <c r="C50" s="3" t="s">
        <v>12</v>
      </c>
      <c r="D50" s="4" t="s">
        <v>45</v>
      </c>
      <c r="E50" s="4" t="n">
        <v>49</v>
      </c>
      <c r="F50" s="3" t="s">
        <v>175</v>
      </c>
      <c r="G50" s="3" t="s">
        <v>166</v>
      </c>
      <c r="H50" s="5" t="s">
        <v>176</v>
      </c>
      <c r="I50" s="5" t="s">
        <v>177</v>
      </c>
      <c r="J50" s="7" t="n">
        <v>4</v>
      </c>
    </row>
    <row r="51" customFormat="false" ht="15" hidden="false" customHeight="false" outlineLevel="0" collapsed="false">
      <c r="A51" s="3" t="s">
        <v>10</v>
      </c>
      <c r="B51" s="3" t="s">
        <v>11</v>
      </c>
      <c r="C51" s="3" t="s">
        <v>12</v>
      </c>
      <c r="D51" s="4" t="s">
        <v>45</v>
      </c>
      <c r="E51" s="4" t="n">
        <v>50</v>
      </c>
      <c r="F51" s="3" t="s">
        <v>178</v>
      </c>
      <c r="G51" s="3" t="s">
        <v>166</v>
      </c>
      <c r="H51" s="5" t="s">
        <v>179</v>
      </c>
      <c r="I51" s="5" t="s">
        <v>180</v>
      </c>
      <c r="J51" s="7" t="n">
        <v>3</v>
      </c>
    </row>
    <row r="52" customFormat="false" ht="23.85" hidden="false" customHeight="false" outlineLevel="0" collapsed="false">
      <c r="A52" s="3" t="s">
        <v>10</v>
      </c>
      <c r="B52" s="3" t="s">
        <v>11</v>
      </c>
      <c r="C52" s="3" t="s">
        <v>12</v>
      </c>
      <c r="D52" s="4" t="s">
        <v>45</v>
      </c>
      <c r="E52" s="4" t="n">
        <v>51</v>
      </c>
      <c r="F52" s="3" t="s">
        <v>181</v>
      </c>
      <c r="G52" s="3" t="s">
        <v>166</v>
      </c>
      <c r="H52" s="5" t="s">
        <v>182</v>
      </c>
      <c r="I52" s="5" t="s">
        <v>183</v>
      </c>
      <c r="J52" s="7" t="n">
        <v>3</v>
      </c>
    </row>
    <row r="53" customFormat="false" ht="23.85" hidden="false" customHeight="false" outlineLevel="0" collapsed="false">
      <c r="A53" s="3" t="s">
        <v>10</v>
      </c>
      <c r="B53" s="3" t="s">
        <v>11</v>
      </c>
      <c r="C53" s="3" t="s">
        <v>12</v>
      </c>
      <c r="D53" s="4" t="s">
        <v>45</v>
      </c>
      <c r="E53" s="4" t="n">
        <v>52</v>
      </c>
      <c r="F53" s="3" t="s">
        <v>184</v>
      </c>
      <c r="G53" s="3" t="s">
        <v>185</v>
      </c>
      <c r="H53" s="5" t="s">
        <v>186</v>
      </c>
      <c r="I53" s="5" t="s">
        <v>187</v>
      </c>
      <c r="J53" s="7" t="n">
        <v>2</v>
      </c>
    </row>
    <row r="54" customFormat="false" ht="23.85" hidden="false" customHeight="false" outlineLevel="0" collapsed="false">
      <c r="A54" s="3" t="s">
        <v>10</v>
      </c>
      <c r="B54" s="3" t="s">
        <v>11</v>
      </c>
      <c r="C54" s="3" t="s">
        <v>12</v>
      </c>
      <c r="D54" s="4" t="s">
        <v>45</v>
      </c>
      <c r="E54" s="4" t="n">
        <v>53</v>
      </c>
      <c r="F54" s="3" t="s">
        <v>188</v>
      </c>
      <c r="G54" s="3" t="s">
        <v>185</v>
      </c>
      <c r="H54" s="5" t="s">
        <v>189</v>
      </c>
      <c r="I54" s="5" t="s">
        <v>190</v>
      </c>
      <c r="J54" s="7" t="n">
        <v>3</v>
      </c>
    </row>
    <row r="55" customFormat="false" ht="23.85" hidden="false" customHeight="false" outlineLevel="0" collapsed="false">
      <c r="A55" s="3" t="s">
        <v>10</v>
      </c>
      <c r="B55" s="3" t="s">
        <v>11</v>
      </c>
      <c r="C55" s="3" t="s">
        <v>12</v>
      </c>
      <c r="D55" s="4" t="s">
        <v>45</v>
      </c>
      <c r="E55" s="4" t="n">
        <v>54</v>
      </c>
      <c r="F55" s="3" t="s">
        <v>191</v>
      </c>
      <c r="G55" s="3" t="s">
        <v>185</v>
      </c>
      <c r="H55" s="5" t="s">
        <v>192</v>
      </c>
      <c r="I55" s="5" t="s">
        <v>193</v>
      </c>
      <c r="J55" s="7" t="n">
        <v>3</v>
      </c>
    </row>
    <row r="56" customFormat="false" ht="23.85" hidden="false" customHeight="false" outlineLevel="0" collapsed="false">
      <c r="A56" s="3" t="s">
        <v>10</v>
      </c>
      <c r="B56" s="3" t="s">
        <v>11</v>
      </c>
      <c r="C56" s="3" t="s">
        <v>12</v>
      </c>
      <c r="D56" s="4" t="s">
        <v>45</v>
      </c>
      <c r="E56" s="4" t="n">
        <v>55</v>
      </c>
      <c r="F56" s="3" t="s">
        <v>194</v>
      </c>
      <c r="G56" s="3" t="s">
        <v>185</v>
      </c>
      <c r="H56" s="5" t="s">
        <v>195</v>
      </c>
      <c r="I56" s="5" t="s">
        <v>196</v>
      </c>
      <c r="J56" s="7" t="n">
        <v>3</v>
      </c>
    </row>
    <row r="57" customFormat="false" ht="23.85" hidden="false" customHeight="false" outlineLevel="0" collapsed="false">
      <c r="A57" s="3" t="s">
        <v>10</v>
      </c>
      <c r="B57" s="3" t="s">
        <v>11</v>
      </c>
      <c r="C57" s="3" t="s">
        <v>12</v>
      </c>
      <c r="D57" s="4" t="s">
        <v>45</v>
      </c>
      <c r="E57" s="4" t="n">
        <v>56</v>
      </c>
      <c r="F57" s="3" t="s">
        <v>197</v>
      </c>
      <c r="G57" s="3" t="s">
        <v>185</v>
      </c>
      <c r="H57" s="5" t="s">
        <v>198</v>
      </c>
      <c r="I57" s="5" t="s">
        <v>199</v>
      </c>
      <c r="J57" s="7" t="n">
        <v>2</v>
      </c>
    </row>
    <row r="58" customFormat="false" ht="23.85" hidden="false" customHeight="false" outlineLevel="0" collapsed="false">
      <c r="A58" s="3" t="s">
        <v>10</v>
      </c>
      <c r="B58" s="3" t="s">
        <v>11</v>
      </c>
      <c r="C58" s="3" t="s">
        <v>12</v>
      </c>
      <c r="D58" s="4" t="s">
        <v>45</v>
      </c>
      <c r="E58" s="4" t="n">
        <v>57</v>
      </c>
      <c r="F58" s="3" t="s">
        <v>200</v>
      </c>
      <c r="G58" s="3" t="s">
        <v>185</v>
      </c>
      <c r="H58" s="5" t="s">
        <v>201</v>
      </c>
      <c r="I58" s="5" t="s">
        <v>202</v>
      </c>
      <c r="J58" s="7" t="n">
        <v>3</v>
      </c>
    </row>
    <row r="59" customFormat="false" ht="23.85" hidden="false" customHeight="false" outlineLevel="0" collapsed="false">
      <c r="A59" s="3" t="s">
        <v>10</v>
      </c>
      <c r="B59" s="3" t="s">
        <v>11</v>
      </c>
      <c r="C59" s="3" t="s">
        <v>12</v>
      </c>
      <c r="D59" s="4" t="s">
        <v>45</v>
      </c>
      <c r="E59" s="4" t="n">
        <v>58</v>
      </c>
      <c r="F59" s="3" t="s">
        <v>203</v>
      </c>
      <c r="G59" s="3" t="s">
        <v>204</v>
      </c>
      <c r="H59" s="5" t="s">
        <v>205</v>
      </c>
      <c r="I59" s="5" t="s">
        <v>206</v>
      </c>
      <c r="J59" s="7" t="n">
        <v>4</v>
      </c>
    </row>
    <row r="60" customFormat="false" ht="23.85" hidden="false" customHeight="false" outlineLevel="0" collapsed="false">
      <c r="A60" s="3" t="s">
        <v>10</v>
      </c>
      <c r="B60" s="3" t="s">
        <v>11</v>
      </c>
      <c r="C60" s="3" t="s">
        <v>12</v>
      </c>
      <c r="D60" s="4" t="s">
        <v>45</v>
      </c>
      <c r="E60" s="4" t="n">
        <v>59</v>
      </c>
      <c r="F60" s="3" t="s">
        <v>207</v>
      </c>
      <c r="G60" s="3" t="s">
        <v>204</v>
      </c>
      <c r="H60" s="5" t="s">
        <v>208</v>
      </c>
      <c r="I60" s="5" t="s">
        <v>209</v>
      </c>
      <c r="J60" s="7" t="n">
        <v>4</v>
      </c>
    </row>
    <row r="61" customFormat="false" ht="23.85" hidden="false" customHeight="false" outlineLevel="0" collapsed="false">
      <c r="A61" s="3" t="s">
        <v>10</v>
      </c>
      <c r="B61" s="3" t="s">
        <v>11</v>
      </c>
      <c r="C61" s="3" t="s">
        <v>12</v>
      </c>
      <c r="D61" s="4" t="s">
        <v>45</v>
      </c>
      <c r="E61" s="4" t="n">
        <v>60</v>
      </c>
      <c r="F61" s="3" t="s">
        <v>210</v>
      </c>
      <c r="G61" s="3" t="s">
        <v>204</v>
      </c>
      <c r="H61" s="5" t="s">
        <v>211</v>
      </c>
      <c r="I61" s="5" t="s">
        <v>212</v>
      </c>
      <c r="J61" s="7" t="n">
        <v>2</v>
      </c>
    </row>
    <row r="62" customFormat="false" ht="23.85" hidden="false" customHeight="false" outlineLevel="0" collapsed="false">
      <c r="A62" s="3" t="s">
        <v>10</v>
      </c>
      <c r="B62" s="3" t="s">
        <v>11</v>
      </c>
      <c r="C62" s="3" t="s">
        <v>12</v>
      </c>
      <c r="D62" s="4" t="s">
        <v>45</v>
      </c>
      <c r="E62" s="4" t="n">
        <v>61</v>
      </c>
      <c r="F62" s="3" t="s">
        <v>213</v>
      </c>
      <c r="G62" s="3" t="s">
        <v>204</v>
      </c>
      <c r="H62" s="5" t="s">
        <v>214</v>
      </c>
      <c r="I62" s="5" t="s">
        <v>215</v>
      </c>
      <c r="J62" s="7" t="n">
        <v>4</v>
      </c>
    </row>
    <row r="63" customFormat="false" ht="15" hidden="false" customHeight="false" outlineLevel="0" collapsed="false">
      <c r="A63" s="3" t="s">
        <v>10</v>
      </c>
      <c r="B63" s="3" t="s">
        <v>11</v>
      </c>
      <c r="C63" s="3" t="s">
        <v>12</v>
      </c>
      <c r="D63" s="4" t="s">
        <v>45</v>
      </c>
      <c r="E63" s="4" t="n">
        <v>62</v>
      </c>
      <c r="F63" s="3" t="s">
        <v>216</v>
      </c>
      <c r="G63" s="3" t="s">
        <v>204</v>
      </c>
      <c r="H63" s="5" t="s">
        <v>217</v>
      </c>
      <c r="I63" s="5" t="s">
        <v>218</v>
      </c>
      <c r="J63" s="7" t="n">
        <v>4</v>
      </c>
    </row>
    <row r="64" customFormat="false" ht="23.85" hidden="false" customHeight="false" outlineLevel="0" collapsed="false">
      <c r="A64" s="3" t="s">
        <v>10</v>
      </c>
      <c r="B64" s="3" t="s">
        <v>11</v>
      </c>
      <c r="C64" s="3" t="s">
        <v>12</v>
      </c>
      <c r="D64" s="4" t="s">
        <v>45</v>
      </c>
      <c r="E64" s="4" t="n">
        <v>63</v>
      </c>
      <c r="F64" s="3" t="s">
        <v>219</v>
      </c>
      <c r="G64" s="3" t="s">
        <v>204</v>
      </c>
      <c r="H64" s="5" t="s">
        <v>220</v>
      </c>
      <c r="I64" s="5" t="s">
        <v>221</v>
      </c>
      <c r="J64" s="7" t="n">
        <v>4</v>
      </c>
    </row>
    <row r="65" customFormat="false" ht="23.85" hidden="false" customHeight="false" outlineLevel="0" collapsed="false">
      <c r="A65" s="3" t="s">
        <v>10</v>
      </c>
      <c r="B65" s="3" t="s">
        <v>11</v>
      </c>
      <c r="C65" s="3" t="s">
        <v>12</v>
      </c>
      <c r="D65" s="4" t="s">
        <v>45</v>
      </c>
      <c r="E65" s="4" t="n">
        <v>64</v>
      </c>
      <c r="F65" s="3" t="s">
        <v>222</v>
      </c>
      <c r="G65" s="3" t="s">
        <v>204</v>
      </c>
      <c r="H65" s="5" t="s">
        <v>223</v>
      </c>
      <c r="I65" s="5" t="s">
        <v>224</v>
      </c>
      <c r="J65" s="7" t="n">
        <v>4</v>
      </c>
    </row>
    <row r="66" customFormat="false" ht="23.85" hidden="false" customHeight="false" outlineLevel="0" collapsed="false">
      <c r="A66" s="3" t="s">
        <v>10</v>
      </c>
      <c r="B66" s="3" t="s">
        <v>11</v>
      </c>
      <c r="C66" s="3" t="s">
        <v>12</v>
      </c>
      <c r="D66" s="4" t="s">
        <v>45</v>
      </c>
      <c r="E66" s="4" t="n">
        <v>65</v>
      </c>
      <c r="F66" s="3" t="s">
        <v>225</v>
      </c>
      <c r="G66" s="3" t="s">
        <v>226</v>
      </c>
      <c r="H66" s="5" t="s">
        <v>227</v>
      </c>
      <c r="I66" s="5" t="s">
        <v>228</v>
      </c>
      <c r="J66" s="7" t="n">
        <v>4</v>
      </c>
    </row>
    <row r="67" customFormat="false" ht="23.85" hidden="false" customHeight="false" outlineLevel="0" collapsed="false">
      <c r="A67" s="3" t="s">
        <v>10</v>
      </c>
      <c r="B67" s="3" t="s">
        <v>11</v>
      </c>
      <c r="C67" s="3" t="s">
        <v>12</v>
      </c>
      <c r="D67" s="4" t="s">
        <v>45</v>
      </c>
      <c r="E67" s="4" t="n">
        <v>66</v>
      </c>
      <c r="F67" s="3" t="s">
        <v>229</v>
      </c>
      <c r="G67" s="3" t="s">
        <v>226</v>
      </c>
      <c r="H67" s="5" t="s">
        <v>230</v>
      </c>
      <c r="I67" s="5" t="s">
        <v>231</v>
      </c>
      <c r="J67" s="7" t="n">
        <v>5</v>
      </c>
    </row>
    <row r="68" customFormat="false" ht="15" hidden="false" customHeight="false" outlineLevel="0" collapsed="false">
      <c r="A68" s="3" t="s">
        <v>10</v>
      </c>
      <c r="B68" s="3" t="s">
        <v>11</v>
      </c>
      <c r="C68" s="3" t="s">
        <v>12</v>
      </c>
      <c r="D68" s="4" t="s">
        <v>45</v>
      </c>
      <c r="E68" s="4" t="n">
        <v>67</v>
      </c>
      <c r="F68" s="3" t="s">
        <v>232</v>
      </c>
      <c r="G68" s="3" t="s">
        <v>226</v>
      </c>
      <c r="H68" s="5" t="s">
        <v>233</v>
      </c>
      <c r="I68" s="5" t="s">
        <v>234</v>
      </c>
      <c r="J68" s="7" t="n">
        <v>5</v>
      </c>
    </row>
    <row r="69" customFormat="false" ht="23.85" hidden="false" customHeight="false" outlineLevel="0" collapsed="false">
      <c r="A69" s="3" t="s">
        <v>10</v>
      </c>
      <c r="B69" s="3" t="s">
        <v>11</v>
      </c>
      <c r="C69" s="3" t="s">
        <v>12</v>
      </c>
      <c r="D69" s="4" t="s">
        <v>45</v>
      </c>
      <c r="E69" s="4" t="n">
        <v>68</v>
      </c>
      <c r="F69" s="3" t="s">
        <v>235</v>
      </c>
      <c r="G69" s="3" t="s">
        <v>226</v>
      </c>
      <c r="H69" s="5" t="s">
        <v>236</v>
      </c>
      <c r="I69" s="5" t="s">
        <v>237</v>
      </c>
      <c r="J69" s="7" t="n">
        <v>3</v>
      </c>
    </row>
    <row r="70" customFormat="false" ht="15" hidden="false" customHeight="false" outlineLevel="0" collapsed="false">
      <c r="A70" s="3" t="s">
        <v>10</v>
      </c>
      <c r="B70" s="3" t="s">
        <v>11</v>
      </c>
      <c r="C70" s="3" t="s">
        <v>12</v>
      </c>
      <c r="D70" s="4" t="s">
        <v>45</v>
      </c>
      <c r="E70" s="4" t="n">
        <v>69</v>
      </c>
      <c r="F70" s="3" t="s">
        <v>238</v>
      </c>
      <c r="G70" s="3" t="s">
        <v>226</v>
      </c>
      <c r="H70" s="5" t="s">
        <v>239</v>
      </c>
      <c r="I70" s="5" t="s">
        <v>240</v>
      </c>
      <c r="J70" s="7" t="n">
        <v>3</v>
      </c>
    </row>
    <row r="71" customFormat="false" ht="15" hidden="false" customHeight="false" outlineLevel="0" collapsed="false">
      <c r="A71" s="3" t="s">
        <v>10</v>
      </c>
      <c r="B71" s="3" t="s">
        <v>11</v>
      </c>
      <c r="C71" s="3" t="s">
        <v>12</v>
      </c>
      <c r="D71" s="4" t="s">
        <v>45</v>
      </c>
      <c r="E71" s="4" t="n">
        <v>70</v>
      </c>
      <c r="F71" s="3" t="s">
        <v>241</v>
      </c>
      <c r="G71" s="3" t="s">
        <v>242</v>
      </c>
      <c r="H71" s="5" t="s">
        <v>243</v>
      </c>
      <c r="I71" s="5" t="s">
        <v>244</v>
      </c>
      <c r="J71" s="7" t="n">
        <v>4</v>
      </c>
    </row>
    <row r="72" customFormat="false" ht="15" hidden="false" customHeight="false" outlineLevel="0" collapsed="false">
      <c r="A72" s="3" t="s">
        <v>10</v>
      </c>
      <c r="B72" s="3" t="s">
        <v>11</v>
      </c>
      <c r="C72" s="3" t="s">
        <v>12</v>
      </c>
      <c r="D72" s="4" t="s">
        <v>45</v>
      </c>
      <c r="E72" s="4" t="n">
        <v>71</v>
      </c>
      <c r="F72" s="3" t="s">
        <v>245</v>
      </c>
      <c r="G72" s="3" t="s">
        <v>242</v>
      </c>
      <c r="H72" s="5" t="s">
        <v>246</v>
      </c>
      <c r="I72" s="5" t="s">
        <v>247</v>
      </c>
      <c r="J72" s="7" t="n">
        <v>4</v>
      </c>
    </row>
    <row r="73" customFormat="false" ht="15" hidden="false" customHeight="false" outlineLevel="0" collapsed="false">
      <c r="A73" s="3" t="s">
        <v>10</v>
      </c>
      <c r="B73" s="3" t="s">
        <v>11</v>
      </c>
      <c r="C73" s="3" t="s">
        <v>12</v>
      </c>
      <c r="D73" s="4" t="s">
        <v>45</v>
      </c>
      <c r="E73" s="4" t="n">
        <v>72</v>
      </c>
      <c r="F73" s="3" t="s">
        <v>248</v>
      </c>
      <c r="G73" s="3" t="s">
        <v>242</v>
      </c>
      <c r="H73" s="5" t="s">
        <v>249</v>
      </c>
      <c r="I73" s="5" t="s">
        <v>250</v>
      </c>
      <c r="J73" s="7" t="n">
        <v>3</v>
      </c>
    </row>
    <row r="74" customFormat="false" ht="15" hidden="false" customHeight="false" outlineLevel="0" collapsed="false">
      <c r="A74" s="3" t="s">
        <v>10</v>
      </c>
      <c r="B74" s="3" t="s">
        <v>11</v>
      </c>
      <c r="C74" s="3" t="s">
        <v>12</v>
      </c>
      <c r="D74" s="4" t="s">
        <v>45</v>
      </c>
      <c r="E74" s="4" t="n">
        <v>73</v>
      </c>
      <c r="F74" s="3" t="s">
        <v>251</v>
      </c>
      <c r="G74" s="3" t="s">
        <v>242</v>
      </c>
      <c r="H74" s="5" t="s">
        <v>252</v>
      </c>
      <c r="I74" s="5" t="s">
        <v>253</v>
      </c>
      <c r="J74" s="7" t="n">
        <v>4</v>
      </c>
    </row>
    <row r="75" customFormat="false" ht="15" hidden="false" customHeight="false" outlineLevel="0" collapsed="false">
      <c r="A75" s="3" t="s">
        <v>10</v>
      </c>
      <c r="B75" s="3" t="s">
        <v>11</v>
      </c>
      <c r="C75" s="3" t="s">
        <v>12</v>
      </c>
      <c r="D75" s="4" t="s">
        <v>45</v>
      </c>
      <c r="E75" s="4" t="n">
        <v>74</v>
      </c>
      <c r="F75" s="3" t="s">
        <v>254</v>
      </c>
      <c r="G75" s="3" t="s">
        <v>242</v>
      </c>
      <c r="H75" s="5" t="s">
        <v>255</v>
      </c>
      <c r="I75" s="5" t="s">
        <v>256</v>
      </c>
      <c r="J75" s="7" t="n">
        <v>4</v>
      </c>
    </row>
    <row r="76" customFormat="false" ht="15" hidden="false" customHeight="false" outlineLevel="0" collapsed="false">
      <c r="A76" s="3" t="s">
        <v>10</v>
      </c>
      <c r="B76" s="3" t="s">
        <v>11</v>
      </c>
      <c r="C76" s="3" t="s">
        <v>12</v>
      </c>
      <c r="D76" s="4" t="s">
        <v>45</v>
      </c>
      <c r="E76" s="4" t="n">
        <v>75</v>
      </c>
      <c r="F76" s="3" t="s">
        <v>257</v>
      </c>
      <c r="G76" s="3" t="s">
        <v>258</v>
      </c>
      <c r="H76" s="5" t="s">
        <v>259</v>
      </c>
      <c r="I76" s="5" t="s">
        <v>260</v>
      </c>
      <c r="J76" s="7" t="n">
        <v>4</v>
      </c>
    </row>
    <row r="77" customFormat="false" ht="23.85" hidden="false" customHeight="false" outlineLevel="0" collapsed="false">
      <c r="A77" s="3" t="s">
        <v>10</v>
      </c>
      <c r="B77" s="3" t="s">
        <v>11</v>
      </c>
      <c r="C77" s="3" t="s">
        <v>12</v>
      </c>
      <c r="D77" s="4" t="s">
        <v>45</v>
      </c>
      <c r="E77" s="4" t="n">
        <v>76</v>
      </c>
      <c r="F77" s="3" t="s">
        <v>261</v>
      </c>
      <c r="G77" s="3" t="s">
        <v>258</v>
      </c>
      <c r="H77" s="5" t="s">
        <v>262</v>
      </c>
      <c r="I77" s="5" t="s">
        <v>263</v>
      </c>
      <c r="J77" s="7" t="n">
        <v>5</v>
      </c>
    </row>
    <row r="78" customFormat="false" ht="23.85" hidden="false" customHeight="false" outlineLevel="0" collapsed="false">
      <c r="A78" s="3" t="s">
        <v>10</v>
      </c>
      <c r="B78" s="3" t="s">
        <v>11</v>
      </c>
      <c r="C78" s="3" t="s">
        <v>12</v>
      </c>
      <c r="D78" s="4" t="s">
        <v>45</v>
      </c>
      <c r="E78" s="4" t="n">
        <v>77</v>
      </c>
      <c r="F78" s="3" t="s">
        <v>264</v>
      </c>
      <c r="G78" s="3" t="s">
        <v>258</v>
      </c>
      <c r="H78" s="5" t="s">
        <v>265</v>
      </c>
      <c r="I78" s="5" t="s">
        <v>266</v>
      </c>
      <c r="J78" s="7" t="n">
        <v>2</v>
      </c>
    </row>
    <row r="79" customFormat="false" ht="23.85" hidden="false" customHeight="false" outlineLevel="0" collapsed="false">
      <c r="A79" s="3" t="s">
        <v>10</v>
      </c>
      <c r="B79" s="3" t="s">
        <v>11</v>
      </c>
      <c r="C79" s="3" t="s">
        <v>12</v>
      </c>
      <c r="D79" s="4" t="s">
        <v>45</v>
      </c>
      <c r="E79" s="4" t="n">
        <v>78</v>
      </c>
      <c r="F79" s="3" t="s">
        <v>267</v>
      </c>
      <c r="G79" s="3" t="s">
        <v>258</v>
      </c>
      <c r="H79" s="5" t="s">
        <v>268</v>
      </c>
      <c r="I79" s="5" t="s">
        <v>269</v>
      </c>
      <c r="J79" s="7" t="n">
        <v>5</v>
      </c>
    </row>
    <row r="80" customFormat="false" ht="15" hidden="false" customHeight="false" outlineLevel="0" collapsed="false">
      <c r="A80" s="3" t="s">
        <v>10</v>
      </c>
      <c r="B80" s="3" t="s">
        <v>11</v>
      </c>
      <c r="C80" s="3" t="s">
        <v>12</v>
      </c>
      <c r="D80" s="4" t="s">
        <v>45</v>
      </c>
      <c r="E80" s="4" t="n">
        <v>79</v>
      </c>
      <c r="F80" s="3" t="s">
        <v>270</v>
      </c>
      <c r="G80" s="3" t="s">
        <v>258</v>
      </c>
      <c r="H80" s="5" t="s">
        <v>271</v>
      </c>
      <c r="I80" s="5" t="s">
        <v>272</v>
      </c>
      <c r="J80" s="7" t="n">
        <v>3</v>
      </c>
    </row>
  </sheetData>
  <autoFilter ref="A1:J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26"/>
    <col collapsed="false" customWidth="true" hidden="false" outlineLevel="0" max="17" min="4" style="0" width="13"/>
  </cols>
  <sheetData>
    <row r="1" customFormat="false" ht="30" hidden="false" customHeight="true" outlineLevel="0" collapsed="false">
      <c r="A1" s="1" t="s">
        <v>0</v>
      </c>
      <c r="B1" s="1" t="s">
        <v>273</v>
      </c>
      <c r="C1" s="1" t="s">
        <v>274</v>
      </c>
      <c r="D1" s="1" t="s">
        <v>275</v>
      </c>
      <c r="E1" s="1" t="s">
        <v>276</v>
      </c>
      <c r="F1" s="2" t="s">
        <v>277</v>
      </c>
      <c r="G1" s="2" t="s">
        <v>278</v>
      </c>
      <c r="H1" s="2" t="s">
        <v>279</v>
      </c>
      <c r="I1" s="2" t="s">
        <v>280</v>
      </c>
      <c r="J1" s="2" t="s">
        <v>281</v>
      </c>
      <c r="K1" s="2" t="s">
        <v>282</v>
      </c>
      <c r="L1" s="2" t="s">
        <v>283</v>
      </c>
      <c r="M1" s="2" t="s">
        <v>284</v>
      </c>
      <c r="N1" s="2" t="s">
        <v>285</v>
      </c>
      <c r="O1" s="2" t="s">
        <v>286</v>
      </c>
      <c r="P1" s="2" t="s">
        <v>287</v>
      </c>
      <c r="Q1" s="2" t="s">
        <v>288</v>
      </c>
    </row>
    <row r="2" customFormat="false" ht="15" hidden="false" customHeight="false" outlineLevel="0" collapsed="false">
      <c r="A2" s="8" t="s">
        <v>10</v>
      </c>
      <c r="B2" s="9" t="str">
        <f aca="false">IFERROR(INDEX(Responses!$J$2:$J$200000,MATCH(1,INDEX((Responses!$A$2:$A$200000=$A2)*(Responses!$F$2:$F$200000="DEM_school_name"),0),0)),"")</f>
        <v>B.P. Pujari Gr.EM</v>
      </c>
      <c r="C2" s="9" t="str">
        <f aca="false">IFERROR(INDEX(Responses!$J$2:$J$200000,MATCH(1,INDEX((Responses!$A$2:$A$200000=$A2)*(Responses!$F$2:$F$200000="DEM_class_grade"),0),0)),"")</f>
        <v>9th A</v>
      </c>
      <c r="D2" s="9" t="n">
        <f aca="false">COUNTIFS(Responses!$A$2:$A$200000,$A2,Responses!$D$2:$D$200000,"B",Responses!$J$2:$J$200000,"&gt;0")</f>
        <v>69</v>
      </c>
      <c r="E2" s="9" t="n">
        <f aca="false">IF(A2="","",71-D2)</f>
        <v>2</v>
      </c>
      <c r="F2" s="10" t="n">
        <f aca="false">IFERROR(ROUND(AVERAGEIFS(Responses!$J$2:$J$200000,Responses!$A$2:$A$200000,$A2,Responses!$G$2:$G$200000,"ER"),2),"")</f>
        <v>4.4</v>
      </c>
      <c r="G2" s="10" t="n">
        <f aca="false">IFERROR(ROUND(AVERAGEIFS(Responses!$J$2:$J$200000,Responses!$A$2:$A$200000,$A2,Responses!$G$2:$G$200000,"RE"),2),"")</f>
        <v>3.83</v>
      </c>
      <c r="H2" s="10" t="n">
        <f aca="false">IFERROR(ROUND(AVERAGEIFS(Responses!$J$2:$J$200000,Responses!$A$2:$A$200000,$A2,Responses!$G$2:$G$200000,"EO"),2),"")</f>
        <v>4.14</v>
      </c>
      <c r="I2" s="10" t="n">
        <f aca="false">IFERROR(ROUND(AVERAGEIFS(Responses!$J$2:$J$200000,Responses!$A$2:$A$200000,$A2,Responses!$G$2:$G$200000,"EM"),2),"")</f>
        <v>4.17</v>
      </c>
      <c r="J2" s="10" t="n">
        <f aca="false">IFERROR(ROUND(AVERAGEIFS(Responses!$J$2:$J$200000,Responses!$A$2:$A$200000,$A2,Responses!$G$2:$G$200000,"DI"),2),"")</f>
        <v>3</v>
      </c>
      <c r="K2" s="10" t="n">
        <f aca="false">IFERROR(ROUND(AVERAGEIFS(Responses!$J$2:$J$200000,Responses!$A$2:$A$200000,$A2,Responses!$G$2:$G$200000,"TC"),2),"")</f>
        <v>3.17</v>
      </c>
      <c r="L2" s="10" t="n">
        <f aca="false">IFERROR(ROUND(AVERAGEIFS(Responses!$J$2:$J$200000,Responses!$A$2:$A$200000,$A2,Responses!$G$2:$G$200000,"DP"),2),"")</f>
        <v>3.17</v>
      </c>
      <c r="M2" s="10" t="n">
        <f aca="false">IFERROR(ROUND(AVERAGEIFS(Responses!$J$2:$J$200000,Responses!$A$2:$A$200000,$A2,Responses!$G$2:$G$200000,"DS"),2),"")</f>
        <v>2.67</v>
      </c>
      <c r="N2" s="10" t="n">
        <f aca="false">IFERROR(ROUND(AVERAGEIFS(Responses!$J$2:$J$200000,Responses!$A$2:$A$200000,$A2,Responses!$G$2:$G$200000,"PS"),2),"")</f>
        <v>3.71</v>
      </c>
      <c r="O2" s="10" t="n">
        <f aca="false">IFERROR(ROUND(AVERAGEIFS(Responses!$J$2:$J$200000,Responses!$A$2:$A$200000,$A2,Responses!$G$2:$G$200000,"AS"),2),"")</f>
        <v>4</v>
      </c>
      <c r="P2" s="10" t="n">
        <f aca="false">IFERROR(ROUND(AVERAGEIFS(Responses!$J$2:$J$200000,Responses!$A$2:$A$200000,$A2,Responses!$G$2:$G$200000,"IR"),2),"")</f>
        <v>3.8</v>
      </c>
      <c r="Q2" s="10" t="n">
        <f aca="false">IFERROR(ROUND(AVERAGEIFS(Responses!$J$2:$J$200000,Responses!$A$2:$A$200000,$A2,Responses!$G$2:$G$200000,"PC"),2),"")</f>
        <v>3.8</v>
      </c>
    </row>
    <row r="3" customFormat="false" ht="15" hidden="false" customHeight="false" outlineLevel="0" collapsed="false">
      <c r="A3" s="8"/>
      <c r="B3" s="9" t="str">
        <f aca="false">IFERROR(INDEX(Responses!$J$2:$J$200000,MATCH(1,INDEX((Responses!$A$2:$A$200000=$A3)*(Responses!$F$2:$F$200000="DEM_school_name"),0),0)),"")</f>
        <v/>
      </c>
      <c r="C3" s="9" t="str">
        <f aca="false">IFERROR(INDEX(Responses!$J$2:$J$200000,MATCH(1,INDEX((Responses!$A$2:$A$200000=$A3)*(Responses!$F$2:$F$200000="DEM_class_grade"),0),0)),"")</f>
        <v/>
      </c>
      <c r="D3" s="9" t="n">
        <f aca="false">COUNTIFS(Responses!$A$2:$A$200000,$A3,Responses!$D$2:$D$200000,"B",Responses!$J$2:$J$200000,"&gt;0")</f>
        <v>0</v>
      </c>
      <c r="E3" s="9" t="str">
        <f aca="false">IF(A3="","",71-D3)</f>
        <v/>
      </c>
      <c r="F3" s="10" t="str">
        <f aca="false">IFERROR(ROUND(AVERAGEIFS(Responses!$J$2:$J$200000,Responses!$A$2:$A$200000,$A3,Responses!$G$2:$G$200000,"ER"),2),"")</f>
        <v/>
      </c>
      <c r="G3" s="10" t="str">
        <f aca="false">IFERROR(ROUND(AVERAGEIFS(Responses!$J$2:$J$200000,Responses!$A$2:$A$200000,$A3,Responses!$G$2:$G$200000,"RE"),2),"")</f>
        <v/>
      </c>
      <c r="H3" s="10" t="str">
        <f aca="false">IFERROR(ROUND(AVERAGEIFS(Responses!$J$2:$J$200000,Responses!$A$2:$A$200000,$A3,Responses!$G$2:$G$200000,"EO"),2),"")</f>
        <v/>
      </c>
      <c r="I3" s="10" t="str">
        <f aca="false">IFERROR(ROUND(AVERAGEIFS(Responses!$J$2:$J$200000,Responses!$A$2:$A$200000,$A3,Responses!$G$2:$G$200000,"EM"),2),"")</f>
        <v/>
      </c>
      <c r="J3" s="10" t="str">
        <f aca="false">IFERROR(ROUND(AVERAGEIFS(Responses!$J$2:$J$200000,Responses!$A$2:$A$200000,$A3,Responses!$G$2:$G$200000,"DI"),2),"")</f>
        <v/>
      </c>
      <c r="K3" s="10" t="str">
        <f aca="false">IFERROR(ROUND(AVERAGEIFS(Responses!$J$2:$J$200000,Responses!$A$2:$A$200000,$A3,Responses!$G$2:$G$200000,"TC"),2),"")</f>
        <v/>
      </c>
      <c r="L3" s="10" t="str">
        <f aca="false">IFERROR(ROUND(AVERAGEIFS(Responses!$J$2:$J$200000,Responses!$A$2:$A$200000,$A3,Responses!$G$2:$G$200000,"DP"),2),"")</f>
        <v/>
      </c>
      <c r="M3" s="10" t="str">
        <f aca="false">IFERROR(ROUND(AVERAGEIFS(Responses!$J$2:$J$200000,Responses!$A$2:$A$200000,$A3,Responses!$G$2:$G$200000,"DS"),2),"")</f>
        <v/>
      </c>
      <c r="N3" s="10" t="str">
        <f aca="false">IFERROR(ROUND(AVERAGEIFS(Responses!$J$2:$J$200000,Responses!$A$2:$A$200000,$A3,Responses!$G$2:$G$200000,"PS"),2),"")</f>
        <v/>
      </c>
      <c r="O3" s="10" t="str">
        <f aca="false">IFERROR(ROUND(AVERAGEIFS(Responses!$J$2:$J$200000,Responses!$A$2:$A$200000,$A3,Responses!$G$2:$G$200000,"AS"),2),"")</f>
        <v/>
      </c>
      <c r="P3" s="10" t="str">
        <f aca="false">IFERROR(ROUND(AVERAGEIFS(Responses!$J$2:$J$200000,Responses!$A$2:$A$200000,$A3,Responses!$G$2:$G$200000,"IR"),2),"")</f>
        <v/>
      </c>
      <c r="Q3" s="10" t="str">
        <f aca="false">IFERROR(ROUND(AVERAGEIFS(Responses!$J$2:$J$200000,Responses!$A$2:$A$200000,$A3,Responses!$G$2:$G$200000,"PC"),2),"")</f>
        <v/>
      </c>
    </row>
    <row r="4" customFormat="false" ht="15" hidden="false" customHeight="false" outlineLevel="0" collapsed="false">
      <c r="A4" s="8"/>
      <c r="B4" s="9" t="str">
        <f aca="false">IFERROR(INDEX(Responses!$J$2:$J$200000,MATCH(1,INDEX((Responses!$A$2:$A$200000=$A4)*(Responses!$F$2:$F$200000="DEM_school_name"),0),0)),"")</f>
        <v/>
      </c>
      <c r="C4" s="9" t="str">
        <f aca="false">IFERROR(INDEX(Responses!$J$2:$J$200000,MATCH(1,INDEX((Responses!$A$2:$A$200000=$A4)*(Responses!$F$2:$F$200000="DEM_class_grade"),0),0)),"")</f>
        <v/>
      </c>
      <c r="D4" s="9" t="n">
        <f aca="false">COUNTIFS(Responses!$A$2:$A$200000,$A4,Responses!$D$2:$D$200000,"B",Responses!$J$2:$J$200000,"&gt;0")</f>
        <v>0</v>
      </c>
      <c r="E4" s="9" t="str">
        <f aca="false">IF(A4="","",71-D4)</f>
        <v/>
      </c>
      <c r="F4" s="10" t="str">
        <f aca="false">IFERROR(ROUND(AVERAGEIFS(Responses!$J$2:$J$200000,Responses!$A$2:$A$200000,$A4,Responses!$G$2:$G$200000,"ER"),2),"")</f>
        <v/>
      </c>
      <c r="G4" s="10" t="str">
        <f aca="false">IFERROR(ROUND(AVERAGEIFS(Responses!$J$2:$J$200000,Responses!$A$2:$A$200000,$A4,Responses!$G$2:$G$200000,"RE"),2),"")</f>
        <v/>
      </c>
      <c r="H4" s="10" t="str">
        <f aca="false">IFERROR(ROUND(AVERAGEIFS(Responses!$J$2:$J$200000,Responses!$A$2:$A$200000,$A4,Responses!$G$2:$G$200000,"EO"),2),"")</f>
        <v/>
      </c>
      <c r="I4" s="10" t="str">
        <f aca="false">IFERROR(ROUND(AVERAGEIFS(Responses!$J$2:$J$200000,Responses!$A$2:$A$200000,$A4,Responses!$G$2:$G$200000,"EM"),2),"")</f>
        <v/>
      </c>
      <c r="J4" s="10" t="str">
        <f aca="false">IFERROR(ROUND(AVERAGEIFS(Responses!$J$2:$J$200000,Responses!$A$2:$A$200000,$A4,Responses!$G$2:$G$200000,"DI"),2),"")</f>
        <v/>
      </c>
      <c r="K4" s="10" t="str">
        <f aca="false">IFERROR(ROUND(AVERAGEIFS(Responses!$J$2:$J$200000,Responses!$A$2:$A$200000,$A4,Responses!$G$2:$G$200000,"TC"),2),"")</f>
        <v/>
      </c>
      <c r="L4" s="10" t="str">
        <f aca="false">IFERROR(ROUND(AVERAGEIFS(Responses!$J$2:$J$200000,Responses!$A$2:$A$200000,$A4,Responses!$G$2:$G$200000,"DP"),2),"")</f>
        <v/>
      </c>
      <c r="M4" s="10" t="str">
        <f aca="false">IFERROR(ROUND(AVERAGEIFS(Responses!$J$2:$J$200000,Responses!$A$2:$A$200000,$A4,Responses!$G$2:$G$200000,"DS"),2),"")</f>
        <v/>
      </c>
      <c r="N4" s="10" t="str">
        <f aca="false">IFERROR(ROUND(AVERAGEIFS(Responses!$J$2:$J$200000,Responses!$A$2:$A$200000,$A4,Responses!$G$2:$G$200000,"PS"),2),"")</f>
        <v/>
      </c>
      <c r="O4" s="10" t="str">
        <f aca="false">IFERROR(ROUND(AVERAGEIFS(Responses!$J$2:$J$200000,Responses!$A$2:$A$200000,$A4,Responses!$G$2:$G$200000,"AS"),2),"")</f>
        <v/>
      </c>
      <c r="P4" s="10" t="str">
        <f aca="false">IFERROR(ROUND(AVERAGEIFS(Responses!$J$2:$J$200000,Responses!$A$2:$A$200000,$A4,Responses!$G$2:$G$200000,"IR"),2),"")</f>
        <v/>
      </c>
      <c r="Q4" s="10" t="str">
        <f aca="false">IFERROR(ROUND(AVERAGEIFS(Responses!$J$2:$J$200000,Responses!$A$2:$A$200000,$A4,Responses!$G$2:$G$200000,"PC"),2),"")</f>
        <v/>
      </c>
    </row>
    <row r="5" customFormat="false" ht="15" hidden="false" customHeight="false" outlineLevel="0" collapsed="false">
      <c r="A5" s="8"/>
      <c r="B5" s="9" t="str">
        <f aca="false">IFERROR(INDEX(Responses!$J$2:$J$200000,MATCH(1,INDEX((Responses!$A$2:$A$200000=$A5)*(Responses!$F$2:$F$200000="DEM_school_name"),0),0)),"")</f>
        <v/>
      </c>
      <c r="C5" s="9" t="str">
        <f aca="false">IFERROR(INDEX(Responses!$J$2:$J$200000,MATCH(1,INDEX((Responses!$A$2:$A$200000=$A5)*(Responses!$F$2:$F$200000="DEM_class_grade"),0),0)),"")</f>
        <v/>
      </c>
      <c r="D5" s="9" t="n">
        <f aca="false">COUNTIFS(Responses!$A$2:$A$200000,$A5,Responses!$D$2:$D$200000,"B",Responses!$J$2:$J$200000,"&gt;0")</f>
        <v>0</v>
      </c>
      <c r="E5" s="9" t="str">
        <f aca="false">IF(A5="","",71-D5)</f>
        <v/>
      </c>
      <c r="F5" s="10" t="str">
        <f aca="false">IFERROR(ROUND(AVERAGEIFS(Responses!$J$2:$J$200000,Responses!$A$2:$A$200000,$A5,Responses!$G$2:$G$200000,"ER"),2),"")</f>
        <v/>
      </c>
      <c r="G5" s="10" t="str">
        <f aca="false">IFERROR(ROUND(AVERAGEIFS(Responses!$J$2:$J$200000,Responses!$A$2:$A$200000,$A5,Responses!$G$2:$G$200000,"RE"),2),"")</f>
        <v/>
      </c>
      <c r="H5" s="10" t="str">
        <f aca="false">IFERROR(ROUND(AVERAGEIFS(Responses!$J$2:$J$200000,Responses!$A$2:$A$200000,$A5,Responses!$G$2:$G$200000,"EO"),2),"")</f>
        <v/>
      </c>
      <c r="I5" s="10" t="str">
        <f aca="false">IFERROR(ROUND(AVERAGEIFS(Responses!$J$2:$J$200000,Responses!$A$2:$A$200000,$A5,Responses!$G$2:$G$200000,"EM"),2),"")</f>
        <v/>
      </c>
      <c r="J5" s="10" t="str">
        <f aca="false">IFERROR(ROUND(AVERAGEIFS(Responses!$J$2:$J$200000,Responses!$A$2:$A$200000,$A5,Responses!$G$2:$G$200000,"DI"),2),"")</f>
        <v/>
      </c>
      <c r="K5" s="10" t="str">
        <f aca="false">IFERROR(ROUND(AVERAGEIFS(Responses!$J$2:$J$200000,Responses!$A$2:$A$200000,$A5,Responses!$G$2:$G$200000,"TC"),2),"")</f>
        <v/>
      </c>
      <c r="L5" s="10" t="str">
        <f aca="false">IFERROR(ROUND(AVERAGEIFS(Responses!$J$2:$J$200000,Responses!$A$2:$A$200000,$A5,Responses!$G$2:$G$200000,"DP"),2),"")</f>
        <v/>
      </c>
      <c r="M5" s="10" t="str">
        <f aca="false">IFERROR(ROUND(AVERAGEIFS(Responses!$J$2:$J$200000,Responses!$A$2:$A$200000,$A5,Responses!$G$2:$G$200000,"DS"),2),"")</f>
        <v/>
      </c>
      <c r="N5" s="10" t="str">
        <f aca="false">IFERROR(ROUND(AVERAGEIFS(Responses!$J$2:$J$200000,Responses!$A$2:$A$200000,$A5,Responses!$G$2:$G$200000,"PS"),2),"")</f>
        <v/>
      </c>
      <c r="O5" s="10" t="str">
        <f aca="false">IFERROR(ROUND(AVERAGEIFS(Responses!$J$2:$J$200000,Responses!$A$2:$A$200000,$A5,Responses!$G$2:$G$200000,"AS"),2),"")</f>
        <v/>
      </c>
      <c r="P5" s="10" t="str">
        <f aca="false">IFERROR(ROUND(AVERAGEIFS(Responses!$J$2:$J$200000,Responses!$A$2:$A$200000,$A5,Responses!$G$2:$G$200000,"IR"),2),"")</f>
        <v/>
      </c>
      <c r="Q5" s="10" t="str">
        <f aca="false">IFERROR(ROUND(AVERAGEIFS(Responses!$J$2:$J$200000,Responses!$A$2:$A$200000,$A5,Responses!$G$2:$G$200000,"PC"),2),"")</f>
        <v/>
      </c>
    </row>
    <row r="6" customFormat="false" ht="15" hidden="false" customHeight="false" outlineLevel="0" collapsed="false">
      <c r="A6" s="8"/>
      <c r="B6" s="9" t="str">
        <f aca="false">IFERROR(INDEX(Responses!$J$2:$J$200000,MATCH(1,INDEX((Responses!$A$2:$A$200000=$A6)*(Responses!$F$2:$F$200000="DEM_school_name"),0),0)),"")</f>
        <v/>
      </c>
      <c r="C6" s="9" t="str">
        <f aca="false">IFERROR(INDEX(Responses!$J$2:$J$200000,MATCH(1,INDEX((Responses!$A$2:$A$200000=$A6)*(Responses!$F$2:$F$200000="DEM_class_grade"),0),0)),"")</f>
        <v/>
      </c>
      <c r="D6" s="9" t="n">
        <f aca="false">COUNTIFS(Responses!$A$2:$A$200000,$A6,Responses!$D$2:$D$200000,"B",Responses!$J$2:$J$200000,"&gt;0")</f>
        <v>0</v>
      </c>
      <c r="E6" s="9" t="str">
        <f aca="false">IF(A6="","",71-D6)</f>
        <v/>
      </c>
      <c r="F6" s="10" t="str">
        <f aca="false">IFERROR(ROUND(AVERAGEIFS(Responses!$J$2:$J$200000,Responses!$A$2:$A$200000,$A6,Responses!$G$2:$G$200000,"ER"),2),"")</f>
        <v/>
      </c>
      <c r="G6" s="10" t="str">
        <f aca="false">IFERROR(ROUND(AVERAGEIFS(Responses!$J$2:$J$200000,Responses!$A$2:$A$200000,$A6,Responses!$G$2:$G$200000,"RE"),2),"")</f>
        <v/>
      </c>
      <c r="H6" s="10" t="str">
        <f aca="false">IFERROR(ROUND(AVERAGEIFS(Responses!$J$2:$J$200000,Responses!$A$2:$A$200000,$A6,Responses!$G$2:$G$200000,"EO"),2),"")</f>
        <v/>
      </c>
      <c r="I6" s="10" t="str">
        <f aca="false">IFERROR(ROUND(AVERAGEIFS(Responses!$J$2:$J$200000,Responses!$A$2:$A$200000,$A6,Responses!$G$2:$G$200000,"EM"),2),"")</f>
        <v/>
      </c>
      <c r="J6" s="10" t="str">
        <f aca="false">IFERROR(ROUND(AVERAGEIFS(Responses!$J$2:$J$200000,Responses!$A$2:$A$200000,$A6,Responses!$G$2:$G$200000,"DI"),2),"")</f>
        <v/>
      </c>
      <c r="K6" s="10" t="str">
        <f aca="false">IFERROR(ROUND(AVERAGEIFS(Responses!$J$2:$J$200000,Responses!$A$2:$A$200000,$A6,Responses!$G$2:$G$200000,"TC"),2),"")</f>
        <v/>
      </c>
      <c r="L6" s="10" t="str">
        <f aca="false">IFERROR(ROUND(AVERAGEIFS(Responses!$J$2:$J$200000,Responses!$A$2:$A$200000,$A6,Responses!$G$2:$G$200000,"DP"),2),"")</f>
        <v/>
      </c>
      <c r="M6" s="10" t="str">
        <f aca="false">IFERROR(ROUND(AVERAGEIFS(Responses!$J$2:$J$200000,Responses!$A$2:$A$200000,$A6,Responses!$G$2:$G$200000,"DS"),2),"")</f>
        <v/>
      </c>
      <c r="N6" s="10" t="str">
        <f aca="false">IFERROR(ROUND(AVERAGEIFS(Responses!$J$2:$J$200000,Responses!$A$2:$A$200000,$A6,Responses!$G$2:$G$200000,"PS"),2),"")</f>
        <v/>
      </c>
      <c r="O6" s="10" t="str">
        <f aca="false">IFERROR(ROUND(AVERAGEIFS(Responses!$J$2:$J$200000,Responses!$A$2:$A$200000,$A6,Responses!$G$2:$G$200000,"AS"),2),"")</f>
        <v/>
      </c>
      <c r="P6" s="10" t="str">
        <f aca="false">IFERROR(ROUND(AVERAGEIFS(Responses!$J$2:$J$200000,Responses!$A$2:$A$200000,$A6,Responses!$G$2:$G$200000,"IR"),2),"")</f>
        <v/>
      </c>
      <c r="Q6" s="10" t="str">
        <f aca="false">IFERROR(ROUND(AVERAGEIFS(Responses!$J$2:$J$200000,Responses!$A$2:$A$200000,$A6,Responses!$G$2:$G$200000,"PC"),2),"")</f>
        <v/>
      </c>
    </row>
    <row r="7" customFormat="false" ht="15" hidden="false" customHeight="false" outlineLevel="0" collapsed="false">
      <c r="A7" s="8"/>
      <c r="B7" s="9" t="str">
        <f aca="false">IFERROR(INDEX(Responses!$J$2:$J$200000,MATCH(1,INDEX((Responses!$A$2:$A$200000=$A7)*(Responses!$F$2:$F$200000="DEM_school_name"),0),0)),"")</f>
        <v/>
      </c>
      <c r="C7" s="9" t="str">
        <f aca="false">IFERROR(INDEX(Responses!$J$2:$J$200000,MATCH(1,INDEX((Responses!$A$2:$A$200000=$A7)*(Responses!$F$2:$F$200000="DEM_class_grade"),0),0)),"")</f>
        <v/>
      </c>
      <c r="D7" s="9" t="n">
        <f aca="false">COUNTIFS(Responses!$A$2:$A$200000,$A7,Responses!$D$2:$D$200000,"B",Responses!$J$2:$J$200000,"&gt;0")</f>
        <v>0</v>
      </c>
      <c r="E7" s="9" t="str">
        <f aca="false">IF(A7="","",71-D7)</f>
        <v/>
      </c>
      <c r="F7" s="10" t="str">
        <f aca="false">IFERROR(ROUND(AVERAGEIFS(Responses!$J$2:$J$200000,Responses!$A$2:$A$200000,$A7,Responses!$G$2:$G$200000,"ER"),2),"")</f>
        <v/>
      </c>
      <c r="G7" s="10" t="str">
        <f aca="false">IFERROR(ROUND(AVERAGEIFS(Responses!$J$2:$J$200000,Responses!$A$2:$A$200000,$A7,Responses!$G$2:$G$200000,"RE"),2),"")</f>
        <v/>
      </c>
      <c r="H7" s="10" t="str">
        <f aca="false">IFERROR(ROUND(AVERAGEIFS(Responses!$J$2:$J$200000,Responses!$A$2:$A$200000,$A7,Responses!$G$2:$G$200000,"EO"),2),"")</f>
        <v/>
      </c>
      <c r="I7" s="10" t="str">
        <f aca="false">IFERROR(ROUND(AVERAGEIFS(Responses!$J$2:$J$200000,Responses!$A$2:$A$200000,$A7,Responses!$G$2:$G$200000,"EM"),2),"")</f>
        <v/>
      </c>
      <c r="J7" s="10" t="str">
        <f aca="false">IFERROR(ROUND(AVERAGEIFS(Responses!$J$2:$J$200000,Responses!$A$2:$A$200000,$A7,Responses!$G$2:$G$200000,"DI"),2),"")</f>
        <v/>
      </c>
      <c r="K7" s="10" t="str">
        <f aca="false">IFERROR(ROUND(AVERAGEIFS(Responses!$J$2:$J$200000,Responses!$A$2:$A$200000,$A7,Responses!$G$2:$G$200000,"TC"),2),"")</f>
        <v/>
      </c>
      <c r="L7" s="10" t="str">
        <f aca="false">IFERROR(ROUND(AVERAGEIFS(Responses!$J$2:$J$200000,Responses!$A$2:$A$200000,$A7,Responses!$G$2:$G$200000,"DP"),2),"")</f>
        <v/>
      </c>
      <c r="M7" s="10" t="str">
        <f aca="false">IFERROR(ROUND(AVERAGEIFS(Responses!$J$2:$J$200000,Responses!$A$2:$A$200000,$A7,Responses!$G$2:$G$200000,"DS"),2),"")</f>
        <v/>
      </c>
      <c r="N7" s="10" t="str">
        <f aca="false">IFERROR(ROUND(AVERAGEIFS(Responses!$J$2:$J$200000,Responses!$A$2:$A$200000,$A7,Responses!$G$2:$G$200000,"PS"),2),"")</f>
        <v/>
      </c>
      <c r="O7" s="10" t="str">
        <f aca="false">IFERROR(ROUND(AVERAGEIFS(Responses!$J$2:$J$200000,Responses!$A$2:$A$200000,$A7,Responses!$G$2:$G$200000,"AS"),2),"")</f>
        <v/>
      </c>
      <c r="P7" s="10" t="str">
        <f aca="false">IFERROR(ROUND(AVERAGEIFS(Responses!$J$2:$J$200000,Responses!$A$2:$A$200000,$A7,Responses!$G$2:$G$200000,"IR"),2),"")</f>
        <v/>
      </c>
      <c r="Q7" s="10" t="str">
        <f aca="false">IFERROR(ROUND(AVERAGEIFS(Responses!$J$2:$J$200000,Responses!$A$2:$A$200000,$A7,Responses!$G$2:$G$200000,"PC"),2),"")</f>
        <v/>
      </c>
    </row>
    <row r="8" customFormat="false" ht="15" hidden="false" customHeight="false" outlineLevel="0" collapsed="false">
      <c r="A8" s="8"/>
      <c r="B8" s="9" t="str">
        <f aca="false">IFERROR(INDEX(Responses!$J$2:$J$200000,MATCH(1,INDEX((Responses!$A$2:$A$200000=$A8)*(Responses!$F$2:$F$200000="DEM_school_name"),0),0)),"")</f>
        <v/>
      </c>
      <c r="C8" s="9" t="str">
        <f aca="false">IFERROR(INDEX(Responses!$J$2:$J$200000,MATCH(1,INDEX((Responses!$A$2:$A$200000=$A8)*(Responses!$F$2:$F$200000="DEM_class_grade"),0),0)),"")</f>
        <v/>
      </c>
      <c r="D8" s="9" t="n">
        <f aca="false">COUNTIFS(Responses!$A$2:$A$200000,$A8,Responses!$D$2:$D$200000,"B",Responses!$J$2:$J$200000,"&gt;0")</f>
        <v>0</v>
      </c>
      <c r="E8" s="9" t="str">
        <f aca="false">IF(A8="","",71-D8)</f>
        <v/>
      </c>
      <c r="F8" s="10" t="str">
        <f aca="false">IFERROR(ROUND(AVERAGEIFS(Responses!$J$2:$J$200000,Responses!$A$2:$A$200000,$A8,Responses!$G$2:$G$200000,"ER"),2),"")</f>
        <v/>
      </c>
      <c r="G8" s="10" t="str">
        <f aca="false">IFERROR(ROUND(AVERAGEIFS(Responses!$J$2:$J$200000,Responses!$A$2:$A$200000,$A8,Responses!$G$2:$G$200000,"RE"),2),"")</f>
        <v/>
      </c>
      <c r="H8" s="10" t="str">
        <f aca="false">IFERROR(ROUND(AVERAGEIFS(Responses!$J$2:$J$200000,Responses!$A$2:$A$200000,$A8,Responses!$G$2:$G$200000,"EO"),2),"")</f>
        <v/>
      </c>
      <c r="I8" s="10" t="str">
        <f aca="false">IFERROR(ROUND(AVERAGEIFS(Responses!$J$2:$J$200000,Responses!$A$2:$A$200000,$A8,Responses!$G$2:$G$200000,"EM"),2),"")</f>
        <v/>
      </c>
      <c r="J8" s="10" t="str">
        <f aca="false">IFERROR(ROUND(AVERAGEIFS(Responses!$J$2:$J$200000,Responses!$A$2:$A$200000,$A8,Responses!$G$2:$G$200000,"DI"),2),"")</f>
        <v/>
      </c>
      <c r="K8" s="10" t="str">
        <f aca="false">IFERROR(ROUND(AVERAGEIFS(Responses!$J$2:$J$200000,Responses!$A$2:$A$200000,$A8,Responses!$G$2:$G$200000,"TC"),2),"")</f>
        <v/>
      </c>
      <c r="L8" s="10" t="str">
        <f aca="false">IFERROR(ROUND(AVERAGEIFS(Responses!$J$2:$J$200000,Responses!$A$2:$A$200000,$A8,Responses!$G$2:$G$200000,"DP"),2),"")</f>
        <v/>
      </c>
      <c r="M8" s="10" t="str">
        <f aca="false">IFERROR(ROUND(AVERAGEIFS(Responses!$J$2:$J$200000,Responses!$A$2:$A$200000,$A8,Responses!$G$2:$G$200000,"DS"),2),"")</f>
        <v/>
      </c>
      <c r="N8" s="10" t="str">
        <f aca="false">IFERROR(ROUND(AVERAGEIFS(Responses!$J$2:$J$200000,Responses!$A$2:$A$200000,$A8,Responses!$G$2:$G$200000,"PS"),2),"")</f>
        <v/>
      </c>
      <c r="O8" s="10" t="str">
        <f aca="false">IFERROR(ROUND(AVERAGEIFS(Responses!$J$2:$J$200000,Responses!$A$2:$A$200000,$A8,Responses!$G$2:$G$200000,"AS"),2),"")</f>
        <v/>
      </c>
      <c r="P8" s="10" t="str">
        <f aca="false">IFERROR(ROUND(AVERAGEIFS(Responses!$J$2:$J$200000,Responses!$A$2:$A$200000,$A8,Responses!$G$2:$G$200000,"IR"),2),"")</f>
        <v/>
      </c>
      <c r="Q8" s="10" t="str">
        <f aca="false">IFERROR(ROUND(AVERAGEIFS(Responses!$J$2:$J$200000,Responses!$A$2:$A$200000,$A8,Responses!$G$2:$G$200000,"PC"),2),"")</f>
        <v/>
      </c>
    </row>
    <row r="9" customFormat="false" ht="15" hidden="false" customHeight="false" outlineLevel="0" collapsed="false">
      <c r="A9" s="8"/>
      <c r="B9" s="9" t="str">
        <f aca="false">IFERROR(INDEX(Responses!$J$2:$J$200000,MATCH(1,INDEX((Responses!$A$2:$A$200000=$A9)*(Responses!$F$2:$F$200000="DEM_school_name"),0),0)),"")</f>
        <v/>
      </c>
      <c r="C9" s="9" t="str">
        <f aca="false">IFERROR(INDEX(Responses!$J$2:$J$200000,MATCH(1,INDEX((Responses!$A$2:$A$200000=$A9)*(Responses!$F$2:$F$200000="DEM_class_grade"),0),0)),"")</f>
        <v/>
      </c>
      <c r="D9" s="9" t="n">
        <f aca="false">COUNTIFS(Responses!$A$2:$A$200000,$A9,Responses!$D$2:$D$200000,"B",Responses!$J$2:$J$200000,"&gt;0")</f>
        <v>0</v>
      </c>
      <c r="E9" s="9" t="str">
        <f aca="false">IF(A9="","",71-D9)</f>
        <v/>
      </c>
      <c r="F9" s="10" t="str">
        <f aca="false">IFERROR(ROUND(AVERAGEIFS(Responses!$J$2:$J$200000,Responses!$A$2:$A$200000,$A9,Responses!$G$2:$G$200000,"ER"),2),"")</f>
        <v/>
      </c>
      <c r="G9" s="10" t="str">
        <f aca="false">IFERROR(ROUND(AVERAGEIFS(Responses!$J$2:$J$200000,Responses!$A$2:$A$200000,$A9,Responses!$G$2:$G$200000,"RE"),2),"")</f>
        <v/>
      </c>
      <c r="H9" s="10" t="str">
        <f aca="false">IFERROR(ROUND(AVERAGEIFS(Responses!$J$2:$J$200000,Responses!$A$2:$A$200000,$A9,Responses!$G$2:$G$200000,"EO"),2),"")</f>
        <v/>
      </c>
      <c r="I9" s="10" t="str">
        <f aca="false">IFERROR(ROUND(AVERAGEIFS(Responses!$J$2:$J$200000,Responses!$A$2:$A$200000,$A9,Responses!$G$2:$G$200000,"EM"),2),"")</f>
        <v/>
      </c>
      <c r="J9" s="10" t="str">
        <f aca="false">IFERROR(ROUND(AVERAGEIFS(Responses!$J$2:$J$200000,Responses!$A$2:$A$200000,$A9,Responses!$G$2:$G$200000,"DI"),2),"")</f>
        <v/>
      </c>
      <c r="K9" s="10" t="str">
        <f aca="false">IFERROR(ROUND(AVERAGEIFS(Responses!$J$2:$J$200000,Responses!$A$2:$A$200000,$A9,Responses!$G$2:$G$200000,"TC"),2),"")</f>
        <v/>
      </c>
      <c r="L9" s="10" t="str">
        <f aca="false">IFERROR(ROUND(AVERAGEIFS(Responses!$J$2:$J$200000,Responses!$A$2:$A$200000,$A9,Responses!$G$2:$G$200000,"DP"),2),"")</f>
        <v/>
      </c>
      <c r="M9" s="10" t="str">
        <f aca="false">IFERROR(ROUND(AVERAGEIFS(Responses!$J$2:$J$200000,Responses!$A$2:$A$200000,$A9,Responses!$G$2:$G$200000,"DS"),2),"")</f>
        <v/>
      </c>
      <c r="N9" s="10" t="str">
        <f aca="false">IFERROR(ROUND(AVERAGEIFS(Responses!$J$2:$J$200000,Responses!$A$2:$A$200000,$A9,Responses!$G$2:$G$200000,"PS"),2),"")</f>
        <v/>
      </c>
      <c r="O9" s="10" t="str">
        <f aca="false">IFERROR(ROUND(AVERAGEIFS(Responses!$J$2:$J$200000,Responses!$A$2:$A$200000,$A9,Responses!$G$2:$G$200000,"AS"),2),"")</f>
        <v/>
      </c>
      <c r="P9" s="10" t="str">
        <f aca="false">IFERROR(ROUND(AVERAGEIFS(Responses!$J$2:$J$200000,Responses!$A$2:$A$200000,$A9,Responses!$G$2:$G$200000,"IR"),2),"")</f>
        <v/>
      </c>
      <c r="Q9" s="10" t="str">
        <f aca="false">IFERROR(ROUND(AVERAGEIFS(Responses!$J$2:$J$200000,Responses!$A$2:$A$200000,$A9,Responses!$G$2:$G$200000,"PC"),2),"")</f>
        <v/>
      </c>
    </row>
    <row r="10" customFormat="false" ht="15" hidden="false" customHeight="false" outlineLevel="0" collapsed="false">
      <c r="A10" s="8"/>
      <c r="B10" s="9" t="str">
        <f aca="false">IFERROR(INDEX(Responses!$J$2:$J$200000,MATCH(1,INDEX((Responses!$A$2:$A$200000=$A10)*(Responses!$F$2:$F$200000="DEM_school_name"),0),0)),"")</f>
        <v/>
      </c>
      <c r="C10" s="9" t="str">
        <f aca="false">IFERROR(INDEX(Responses!$J$2:$J$200000,MATCH(1,INDEX((Responses!$A$2:$A$200000=$A10)*(Responses!$F$2:$F$200000="DEM_class_grade"),0),0)),"")</f>
        <v/>
      </c>
      <c r="D10" s="9" t="n">
        <f aca="false">COUNTIFS(Responses!$A$2:$A$200000,$A10,Responses!$D$2:$D$200000,"B",Responses!$J$2:$J$200000,"&gt;0")</f>
        <v>0</v>
      </c>
      <c r="E10" s="9" t="str">
        <f aca="false">IF(A10="","",71-D10)</f>
        <v/>
      </c>
      <c r="F10" s="10" t="str">
        <f aca="false">IFERROR(ROUND(AVERAGEIFS(Responses!$J$2:$J$200000,Responses!$A$2:$A$200000,$A10,Responses!$G$2:$G$200000,"ER"),2),"")</f>
        <v/>
      </c>
      <c r="G10" s="10" t="str">
        <f aca="false">IFERROR(ROUND(AVERAGEIFS(Responses!$J$2:$J$200000,Responses!$A$2:$A$200000,$A10,Responses!$G$2:$G$200000,"RE"),2),"")</f>
        <v/>
      </c>
      <c r="H10" s="10" t="str">
        <f aca="false">IFERROR(ROUND(AVERAGEIFS(Responses!$J$2:$J$200000,Responses!$A$2:$A$200000,$A10,Responses!$G$2:$G$200000,"EO"),2),"")</f>
        <v/>
      </c>
      <c r="I10" s="10" t="str">
        <f aca="false">IFERROR(ROUND(AVERAGEIFS(Responses!$J$2:$J$200000,Responses!$A$2:$A$200000,$A10,Responses!$G$2:$G$200000,"EM"),2),"")</f>
        <v/>
      </c>
      <c r="J10" s="10" t="str">
        <f aca="false">IFERROR(ROUND(AVERAGEIFS(Responses!$J$2:$J$200000,Responses!$A$2:$A$200000,$A10,Responses!$G$2:$G$200000,"DI"),2),"")</f>
        <v/>
      </c>
      <c r="K10" s="10" t="str">
        <f aca="false">IFERROR(ROUND(AVERAGEIFS(Responses!$J$2:$J$200000,Responses!$A$2:$A$200000,$A10,Responses!$G$2:$G$200000,"TC"),2),"")</f>
        <v/>
      </c>
      <c r="L10" s="10" t="str">
        <f aca="false">IFERROR(ROUND(AVERAGEIFS(Responses!$J$2:$J$200000,Responses!$A$2:$A$200000,$A10,Responses!$G$2:$G$200000,"DP"),2),"")</f>
        <v/>
      </c>
      <c r="M10" s="10" t="str">
        <f aca="false">IFERROR(ROUND(AVERAGEIFS(Responses!$J$2:$J$200000,Responses!$A$2:$A$200000,$A10,Responses!$G$2:$G$200000,"DS"),2),"")</f>
        <v/>
      </c>
      <c r="N10" s="10" t="str">
        <f aca="false">IFERROR(ROUND(AVERAGEIFS(Responses!$J$2:$J$200000,Responses!$A$2:$A$200000,$A10,Responses!$G$2:$G$200000,"PS"),2),"")</f>
        <v/>
      </c>
      <c r="O10" s="10" t="str">
        <f aca="false">IFERROR(ROUND(AVERAGEIFS(Responses!$J$2:$J$200000,Responses!$A$2:$A$200000,$A10,Responses!$G$2:$G$200000,"AS"),2),"")</f>
        <v/>
      </c>
      <c r="P10" s="10" t="str">
        <f aca="false">IFERROR(ROUND(AVERAGEIFS(Responses!$J$2:$J$200000,Responses!$A$2:$A$200000,$A10,Responses!$G$2:$G$200000,"IR"),2),"")</f>
        <v/>
      </c>
      <c r="Q10" s="10" t="str">
        <f aca="false">IFERROR(ROUND(AVERAGEIFS(Responses!$J$2:$J$200000,Responses!$A$2:$A$200000,$A10,Responses!$G$2:$G$200000,"PC"),2),"")</f>
        <v/>
      </c>
    </row>
    <row r="11" customFormat="false" ht="15" hidden="false" customHeight="false" outlineLevel="0" collapsed="false">
      <c r="A11" s="8"/>
      <c r="B11" s="9" t="str">
        <f aca="false">IFERROR(INDEX(Responses!$J$2:$J$200000,MATCH(1,INDEX((Responses!$A$2:$A$200000=$A11)*(Responses!$F$2:$F$200000="DEM_school_name"),0),0)),"")</f>
        <v/>
      </c>
      <c r="C11" s="9" t="str">
        <f aca="false">IFERROR(INDEX(Responses!$J$2:$J$200000,MATCH(1,INDEX((Responses!$A$2:$A$200000=$A11)*(Responses!$F$2:$F$200000="DEM_class_grade"),0),0)),"")</f>
        <v/>
      </c>
      <c r="D11" s="9" t="n">
        <f aca="false">COUNTIFS(Responses!$A$2:$A$200000,$A11,Responses!$D$2:$D$200000,"B",Responses!$J$2:$J$200000,"&gt;0")</f>
        <v>0</v>
      </c>
      <c r="E11" s="9" t="str">
        <f aca="false">IF(A11="","",71-D11)</f>
        <v/>
      </c>
      <c r="F11" s="10" t="str">
        <f aca="false">IFERROR(ROUND(AVERAGEIFS(Responses!$J$2:$J$200000,Responses!$A$2:$A$200000,$A11,Responses!$G$2:$G$200000,"ER"),2),"")</f>
        <v/>
      </c>
      <c r="G11" s="10" t="str">
        <f aca="false">IFERROR(ROUND(AVERAGEIFS(Responses!$J$2:$J$200000,Responses!$A$2:$A$200000,$A11,Responses!$G$2:$G$200000,"RE"),2),"")</f>
        <v/>
      </c>
      <c r="H11" s="10" t="str">
        <f aca="false">IFERROR(ROUND(AVERAGEIFS(Responses!$J$2:$J$200000,Responses!$A$2:$A$200000,$A11,Responses!$G$2:$G$200000,"EO"),2),"")</f>
        <v/>
      </c>
      <c r="I11" s="10" t="str">
        <f aca="false">IFERROR(ROUND(AVERAGEIFS(Responses!$J$2:$J$200000,Responses!$A$2:$A$200000,$A11,Responses!$G$2:$G$200000,"EM"),2),"")</f>
        <v/>
      </c>
      <c r="J11" s="10" t="str">
        <f aca="false">IFERROR(ROUND(AVERAGEIFS(Responses!$J$2:$J$200000,Responses!$A$2:$A$200000,$A11,Responses!$G$2:$G$200000,"DI"),2),"")</f>
        <v/>
      </c>
      <c r="K11" s="10" t="str">
        <f aca="false">IFERROR(ROUND(AVERAGEIFS(Responses!$J$2:$J$200000,Responses!$A$2:$A$200000,$A11,Responses!$G$2:$G$200000,"TC"),2),"")</f>
        <v/>
      </c>
      <c r="L11" s="10" t="str">
        <f aca="false">IFERROR(ROUND(AVERAGEIFS(Responses!$J$2:$J$200000,Responses!$A$2:$A$200000,$A11,Responses!$G$2:$G$200000,"DP"),2),"")</f>
        <v/>
      </c>
      <c r="M11" s="10" t="str">
        <f aca="false">IFERROR(ROUND(AVERAGEIFS(Responses!$J$2:$J$200000,Responses!$A$2:$A$200000,$A11,Responses!$G$2:$G$200000,"DS"),2),"")</f>
        <v/>
      </c>
      <c r="N11" s="10" t="str">
        <f aca="false">IFERROR(ROUND(AVERAGEIFS(Responses!$J$2:$J$200000,Responses!$A$2:$A$200000,$A11,Responses!$G$2:$G$200000,"PS"),2),"")</f>
        <v/>
      </c>
      <c r="O11" s="10" t="str">
        <f aca="false">IFERROR(ROUND(AVERAGEIFS(Responses!$J$2:$J$200000,Responses!$A$2:$A$200000,$A11,Responses!$G$2:$G$200000,"AS"),2),"")</f>
        <v/>
      </c>
      <c r="P11" s="10" t="str">
        <f aca="false">IFERROR(ROUND(AVERAGEIFS(Responses!$J$2:$J$200000,Responses!$A$2:$A$200000,$A11,Responses!$G$2:$G$200000,"IR"),2),"")</f>
        <v/>
      </c>
      <c r="Q11" s="10" t="str">
        <f aca="false">IFERROR(ROUND(AVERAGEIFS(Responses!$J$2:$J$200000,Responses!$A$2:$A$200000,$A11,Responses!$G$2:$G$200000,"PC"),2),"")</f>
        <v/>
      </c>
    </row>
    <row r="12" customFormat="false" ht="15" hidden="false" customHeight="false" outlineLevel="0" collapsed="false">
      <c r="A12" s="8"/>
      <c r="B12" s="9" t="str">
        <f aca="false">IFERROR(INDEX(Responses!$J$2:$J$200000,MATCH(1,INDEX((Responses!$A$2:$A$200000=$A12)*(Responses!$F$2:$F$200000="DEM_school_name"),0),0)),"")</f>
        <v/>
      </c>
      <c r="C12" s="9" t="str">
        <f aca="false">IFERROR(INDEX(Responses!$J$2:$J$200000,MATCH(1,INDEX((Responses!$A$2:$A$200000=$A12)*(Responses!$F$2:$F$200000="DEM_class_grade"),0),0)),"")</f>
        <v/>
      </c>
      <c r="D12" s="9" t="n">
        <f aca="false">COUNTIFS(Responses!$A$2:$A$200000,$A12,Responses!$D$2:$D$200000,"B",Responses!$J$2:$J$200000,"&gt;0")</f>
        <v>0</v>
      </c>
      <c r="E12" s="9" t="str">
        <f aca="false">IF(A12="","",71-D12)</f>
        <v/>
      </c>
      <c r="F12" s="10" t="str">
        <f aca="false">IFERROR(ROUND(AVERAGEIFS(Responses!$J$2:$J$200000,Responses!$A$2:$A$200000,$A12,Responses!$G$2:$G$200000,"ER"),2),"")</f>
        <v/>
      </c>
      <c r="G12" s="10" t="str">
        <f aca="false">IFERROR(ROUND(AVERAGEIFS(Responses!$J$2:$J$200000,Responses!$A$2:$A$200000,$A12,Responses!$G$2:$G$200000,"RE"),2),"")</f>
        <v/>
      </c>
      <c r="H12" s="10" t="str">
        <f aca="false">IFERROR(ROUND(AVERAGEIFS(Responses!$J$2:$J$200000,Responses!$A$2:$A$200000,$A12,Responses!$G$2:$G$200000,"EO"),2),"")</f>
        <v/>
      </c>
      <c r="I12" s="10" t="str">
        <f aca="false">IFERROR(ROUND(AVERAGEIFS(Responses!$J$2:$J$200000,Responses!$A$2:$A$200000,$A12,Responses!$G$2:$G$200000,"EM"),2),"")</f>
        <v/>
      </c>
      <c r="J12" s="10" t="str">
        <f aca="false">IFERROR(ROUND(AVERAGEIFS(Responses!$J$2:$J$200000,Responses!$A$2:$A$200000,$A12,Responses!$G$2:$G$200000,"DI"),2),"")</f>
        <v/>
      </c>
      <c r="K12" s="10" t="str">
        <f aca="false">IFERROR(ROUND(AVERAGEIFS(Responses!$J$2:$J$200000,Responses!$A$2:$A$200000,$A12,Responses!$G$2:$G$200000,"TC"),2),"")</f>
        <v/>
      </c>
      <c r="L12" s="10" t="str">
        <f aca="false">IFERROR(ROUND(AVERAGEIFS(Responses!$J$2:$J$200000,Responses!$A$2:$A$200000,$A12,Responses!$G$2:$G$200000,"DP"),2),"")</f>
        <v/>
      </c>
      <c r="M12" s="10" t="str">
        <f aca="false">IFERROR(ROUND(AVERAGEIFS(Responses!$J$2:$J$200000,Responses!$A$2:$A$200000,$A12,Responses!$G$2:$G$200000,"DS"),2),"")</f>
        <v/>
      </c>
      <c r="N12" s="10" t="str">
        <f aca="false">IFERROR(ROUND(AVERAGEIFS(Responses!$J$2:$J$200000,Responses!$A$2:$A$200000,$A12,Responses!$G$2:$G$200000,"PS"),2),"")</f>
        <v/>
      </c>
      <c r="O12" s="10" t="str">
        <f aca="false">IFERROR(ROUND(AVERAGEIFS(Responses!$J$2:$J$200000,Responses!$A$2:$A$200000,$A12,Responses!$G$2:$G$200000,"AS"),2),"")</f>
        <v/>
      </c>
      <c r="P12" s="10" t="str">
        <f aca="false">IFERROR(ROUND(AVERAGEIFS(Responses!$J$2:$J$200000,Responses!$A$2:$A$200000,$A12,Responses!$G$2:$G$200000,"IR"),2),"")</f>
        <v/>
      </c>
      <c r="Q12" s="10" t="str">
        <f aca="false">IFERROR(ROUND(AVERAGEIFS(Responses!$J$2:$J$200000,Responses!$A$2:$A$200000,$A12,Responses!$G$2:$G$200000,"PC"),2),"")</f>
        <v/>
      </c>
    </row>
    <row r="13" customFormat="false" ht="15" hidden="false" customHeight="false" outlineLevel="0" collapsed="false">
      <c r="A13" s="8"/>
      <c r="B13" s="9" t="str">
        <f aca="false">IFERROR(INDEX(Responses!$J$2:$J$200000,MATCH(1,INDEX((Responses!$A$2:$A$200000=$A13)*(Responses!$F$2:$F$200000="DEM_school_name"),0),0)),"")</f>
        <v/>
      </c>
      <c r="C13" s="9" t="str">
        <f aca="false">IFERROR(INDEX(Responses!$J$2:$J$200000,MATCH(1,INDEX((Responses!$A$2:$A$200000=$A13)*(Responses!$F$2:$F$200000="DEM_class_grade"),0),0)),"")</f>
        <v/>
      </c>
      <c r="D13" s="9" t="n">
        <f aca="false">COUNTIFS(Responses!$A$2:$A$200000,$A13,Responses!$D$2:$D$200000,"B",Responses!$J$2:$J$200000,"&gt;0")</f>
        <v>0</v>
      </c>
      <c r="E13" s="9" t="str">
        <f aca="false">IF(A13="","",71-D13)</f>
        <v/>
      </c>
      <c r="F13" s="10" t="str">
        <f aca="false">IFERROR(ROUND(AVERAGEIFS(Responses!$J$2:$J$200000,Responses!$A$2:$A$200000,$A13,Responses!$G$2:$G$200000,"ER"),2),"")</f>
        <v/>
      </c>
      <c r="G13" s="10" t="str">
        <f aca="false">IFERROR(ROUND(AVERAGEIFS(Responses!$J$2:$J$200000,Responses!$A$2:$A$200000,$A13,Responses!$G$2:$G$200000,"RE"),2),"")</f>
        <v/>
      </c>
      <c r="H13" s="10" t="str">
        <f aca="false">IFERROR(ROUND(AVERAGEIFS(Responses!$J$2:$J$200000,Responses!$A$2:$A$200000,$A13,Responses!$G$2:$G$200000,"EO"),2),"")</f>
        <v/>
      </c>
      <c r="I13" s="10" t="str">
        <f aca="false">IFERROR(ROUND(AVERAGEIFS(Responses!$J$2:$J$200000,Responses!$A$2:$A$200000,$A13,Responses!$G$2:$G$200000,"EM"),2),"")</f>
        <v/>
      </c>
      <c r="J13" s="10" t="str">
        <f aca="false">IFERROR(ROUND(AVERAGEIFS(Responses!$J$2:$J$200000,Responses!$A$2:$A$200000,$A13,Responses!$G$2:$G$200000,"DI"),2),"")</f>
        <v/>
      </c>
      <c r="K13" s="10" t="str">
        <f aca="false">IFERROR(ROUND(AVERAGEIFS(Responses!$J$2:$J$200000,Responses!$A$2:$A$200000,$A13,Responses!$G$2:$G$200000,"TC"),2),"")</f>
        <v/>
      </c>
      <c r="L13" s="10" t="str">
        <f aca="false">IFERROR(ROUND(AVERAGEIFS(Responses!$J$2:$J$200000,Responses!$A$2:$A$200000,$A13,Responses!$G$2:$G$200000,"DP"),2),"")</f>
        <v/>
      </c>
      <c r="M13" s="10" t="str">
        <f aca="false">IFERROR(ROUND(AVERAGEIFS(Responses!$J$2:$J$200000,Responses!$A$2:$A$200000,$A13,Responses!$G$2:$G$200000,"DS"),2),"")</f>
        <v/>
      </c>
      <c r="N13" s="10" t="str">
        <f aca="false">IFERROR(ROUND(AVERAGEIFS(Responses!$J$2:$J$200000,Responses!$A$2:$A$200000,$A13,Responses!$G$2:$G$200000,"PS"),2),"")</f>
        <v/>
      </c>
      <c r="O13" s="10" t="str">
        <f aca="false">IFERROR(ROUND(AVERAGEIFS(Responses!$J$2:$J$200000,Responses!$A$2:$A$200000,$A13,Responses!$G$2:$G$200000,"AS"),2),"")</f>
        <v/>
      </c>
      <c r="P13" s="10" t="str">
        <f aca="false">IFERROR(ROUND(AVERAGEIFS(Responses!$J$2:$J$200000,Responses!$A$2:$A$200000,$A13,Responses!$G$2:$G$200000,"IR"),2),"")</f>
        <v/>
      </c>
      <c r="Q13" s="10" t="str">
        <f aca="false">IFERROR(ROUND(AVERAGEIFS(Responses!$J$2:$J$200000,Responses!$A$2:$A$200000,$A13,Responses!$G$2:$G$200000,"PC"),2),"")</f>
        <v/>
      </c>
    </row>
    <row r="14" customFormat="false" ht="15" hidden="false" customHeight="false" outlineLevel="0" collapsed="false">
      <c r="A14" s="8"/>
      <c r="B14" s="9" t="str">
        <f aca="false">IFERROR(INDEX(Responses!$J$2:$J$200000,MATCH(1,INDEX((Responses!$A$2:$A$200000=$A14)*(Responses!$F$2:$F$200000="DEM_school_name"),0),0)),"")</f>
        <v/>
      </c>
      <c r="C14" s="9" t="str">
        <f aca="false">IFERROR(INDEX(Responses!$J$2:$J$200000,MATCH(1,INDEX((Responses!$A$2:$A$200000=$A14)*(Responses!$F$2:$F$200000="DEM_class_grade"),0),0)),"")</f>
        <v/>
      </c>
      <c r="D14" s="9" t="n">
        <f aca="false">COUNTIFS(Responses!$A$2:$A$200000,$A14,Responses!$D$2:$D$200000,"B",Responses!$J$2:$J$200000,"&gt;0")</f>
        <v>0</v>
      </c>
      <c r="E14" s="9" t="str">
        <f aca="false">IF(A14="","",71-D14)</f>
        <v/>
      </c>
      <c r="F14" s="10" t="str">
        <f aca="false">IFERROR(ROUND(AVERAGEIFS(Responses!$J$2:$J$200000,Responses!$A$2:$A$200000,$A14,Responses!$G$2:$G$200000,"ER"),2),"")</f>
        <v/>
      </c>
      <c r="G14" s="10" t="str">
        <f aca="false">IFERROR(ROUND(AVERAGEIFS(Responses!$J$2:$J$200000,Responses!$A$2:$A$200000,$A14,Responses!$G$2:$G$200000,"RE"),2),"")</f>
        <v/>
      </c>
      <c r="H14" s="10" t="str">
        <f aca="false">IFERROR(ROUND(AVERAGEIFS(Responses!$J$2:$J$200000,Responses!$A$2:$A$200000,$A14,Responses!$G$2:$G$200000,"EO"),2),"")</f>
        <v/>
      </c>
      <c r="I14" s="10" t="str">
        <f aca="false">IFERROR(ROUND(AVERAGEIFS(Responses!$J$2:$J$200000,Responses!$A$2:$A$200000,$A14,Responses!$G$2:$G$200000,"EM"),2),"")</f>
        <v/>
      </c>
      <c r="J14" s="10" t="str">
        <f aca="false">IFERROR(ROUND(AVERAGEIFS(Responses!$J$2:$J$200000,Responses!$A$2:$A$200000,$A14,Responses!$G$2:$G$200000,"DI"),2),"")</f>
        <v/>
      </c>
      <c r="K14" s="10" t="str">
        <f aca="false">IFERROR(ROUND(AVERAGEIFS(Responses!$J$2:$J$200000,Responses!$A$2:$A$200000,$A14,Responses!$G$2:$G$200000,"TC"),2),"")</f>
        <v/>
      </c>
      <c r="L14" s="10" t="str">
        <f aca="false">IFERROR(ROUND(AVERAGEIFS(Responses!$J$2:$J$200000,Responses!$A$2:$A$200000,$A14,Responses!$G$2:$G$200000,"DP"),2),"")</f>
        <v/>
      </c>
      <c r="M14" s="10" t="str">
        <f aca="false">IFERROR(ROUND(AVERAGEIFS(Responses!$J$2:$J$200000,Responses!$A$2:$A$200000,$A14,Responses!$G$2:$G$200000,"DS"),2),"")</f>
        <v/>
      </c>
      <c r="N14" s="10" t="str">
        <f aca="false">IFERROR(ROUND(AVERAGEIFS(Responses!$J$2:$J$200000,Responses!$A$2:$A$200000,$A14,Responses!$G$2:$G$200000,"PS"),2),"")</f>
        <v/>
      </c>
      <c r="O14" s="10" t="str">
        <f aca="false">IFERROR(ROUND(AVERAGEIFS(Responses!$J$2:$J$200000,Responses!$A$2:$A$200000,$A14,Responses!$G$2:$G$200000,"AS"),2),"")</f>
        <v/>
      </c>
      <c r="P14" s="10" t="str">
        <f aca="false">IFERROR(ROUND(AVERAGEIFS(Responses!$J$2:$J$200000,Responses!$A$2:$A$200000,$A14,Responses!$G$2:$G$200000,"IR"),2),"")</f>
        <v/>
      </c>
      <c r="Q14" s="10" t="str">
        <f aca="false">IFERROR(ROUND(AVERAGEIFS(Responses!$J$2:$J$200000,Responses!$A$2:$A$200000,$A14,Responses!$G$2:$G$200000,"PC"),2),"")</f>
        <v/>
      </c>
    </row>
    <row r="15" customFormat="false" ht="15" hidden="false" customHeight="false" outlineLevel="0" collapsed="false">
      <c r="A15" s="8"/>
      <c r="B15" s="9" t="str">
        <f aca="false">IFERROR(INDEX(Responses!$J$2:$J$200000,MATCH(1,INDEX((Responses!$A$2:$A$200000=$A15)*(Responses!$F$2:$F$200000="DEM_school_name"),0),0)),"")</f>
        <v/>
      </c>
      <c r="C15" s="9" t="str">
        <f aca="false">IFERROR(INDEX(Responses!$J$2:$J$200000,MATCH(1,INDEX((Responses!$A$2:$A$200000=$A15)*(Responses!$F$2:$F$200000="DEM_class_grade"),0),0)),"")</f>
        <v/>
      </c>
      <c r="D15" s="9" t="n">
        <f aca="false">COUNTIFS(Responses!$A$2:$A$200000,$A15,Responses!$D$2:$D$200000,"B",Responses!$J$2:$J$200000,"&gt;0")</f>
        <v>0</v>
      </c>
      <c r="E15" s="9" t="str">
        <f aca="false">IF(A15="","",71-D15)</f>
        <v/>
      </c>
      <c r="F15" s="10" t="str">
        <f aca="false">IFERROR(ROUND(AVERAGEIFS(Responses!$J$2:$J$200000,Responses!$A$2:$A$200000,$A15,Responses!$G$2:$G$200000,"ER"),2),"")</f>
        <v/>
      </c>
      <c r="G15" s="10" t="str">
        <f aca="false">IFERROR(ROUND(AVERAGEIFS(Responses!$J$2:$J$200000,Responses!$A$2:$A$200000,$A15,Responses!$G$2:$G$200000,"RE"),2),"")</f>
        <v/>
      </c>
      <c r="H15" s="10" t="str">
        <f aca="false">IFERROR(ROUND(AVERAGEIFS(Responses!$J$2:$J$200000,Responses!$A$2:$A$200000,$A15,Responses!$G$2:$G$200000,"EO"),2),"")</f>
        <v/>
      </c>
      <c r="I15" s="10" t="str">
        <f aca="false">IFERROR(ROUND(AVERAGEIFS(Responses!$J$2:$J$200000,Responses!$A$2:$A$200000,$A15,Responses!$G$2:$G$200000,"EM"),2),"")</f>
        <v/>
      </c>
      <c r="J15" s="10" t="str">
        <f aca="false">IFERROR(ROUND(AVERAGEIFS(Responses!$J$2:$J$200000,Responses!$A$2:$A$200000,$A15,Responses!$G$2:$G$200000,"DI"),2),"")</f>
        <v/>
      </c>
      <c r="K15" s="10" t="str">
        <f aca="false">IFERROR(ROUND(AVERAGEIFS(Responses!$J$2:$J$200000,Responses!$A$2:$A$200000,$A15,Responses!$G$2:$G$200000,"TC"),2),"")</f>
        <v/>
      </c>
      <c r="L15" s="10" t="str">
        <f aca="false">IFERROR(ROUND(AVERAGEIFS(Responses!$J$2:$J$200000,Responses!$A$2:$A$200000,$A15,Responses!$G$2:$G$200000,"DP"),2),"")</f>
        <v/>
      </c>
      <c r="M15" s="10" t="str">
        <f aca="false">IFERROR(ROUND(AVERAGEIFS(Responses!$J$2:$J$200000,Responses!$A$2:$A$200000,$A15,Responses!$G$2:$G$200000,"DS"),2),"")</f>
        <v/>
      </c>
      <c r="N15" s="10" t="str">
        <f aca="false">IFERROR(ROUND(AVERAGEIFS(Responses!$J$2:$J$200000,Responses!$A$2:$A$200000,$A15,Responses!$G$2:$G$200000,"PS"),2),"")</f>
        <v/>
      </c>
      <c r="O15" s="10" t="str">
        <f aca="false">IFERROR(ROUND(AVERAGEIFS(Responses!$J$2:$J$200000,Responses!$A$2:$A$200000,$A15,Responses!$G$2:$G$200000,"AS"),2),"")</f>
        <v/>
      </c>
      <c r="P15" s="10" t="str">
        <f aca="false">IFERROR(ROUND(AVERAGEIFS(Responses!$J$2:$J$200000,Responses!$A$2:$A$200000,$A15,Responses!$G$2:$G$200000,"IR"),2),"")</f>
        <v/>
      </c>
      <c r="Q15" s="10" t="str">
        <f aca="false">IFERROR(ROUND(AVERAGEIFS(Responses!$J$2:$J$200000,Responses!$A$2:$A$200000,$A15,Responses!$G$2:$G$200000,"PC"),2),"")</f>
        <v/>
      </c>
    </row>
    <row r="16" customFormat="false" ht="15" hidden="false" customHeight="false" outlineLevel="0" collapsed="false">
      <c r="A16" s="8"/>
      <c r="B16" s="9" t="str">
        <f aca="false">IFERROR(INDEX(Responses!$J$2:$J$200000,MATCH(1,INDEX((Responses!$A$2:$A$200000=$A16)*(Responses!$F$2:$F$200000="DEM_school_name"),0),0)),"")</f>
        <v/>
      </c>
      <c r="C16" s="9" t="str">
        <f aca="false">IFERROR(INDEX(Responses!$J$2:$J$200000,MATCH(1,INDEX((Responses!$A$2:$A$200000=$A16)*(Responses!$F$2:$F$200000="DEM_class_grade"),0),0)),"")</f>
        <v/>
      </c>
      <c r="D16" s="9" t="n">
        <f aca="false">COUNTIFS(Responses!$A$2:$A$200000,$A16,Responses!$D$2:$D$200000,"B",Responses!$J$2:$J$200000,"&gt;0")</f>
        <v>0</v>
      </c>
      <c r="E16" s="9" t="str">
        <f aca="false">IF(A16="","",71-D16)</f>
        <v/>
      </c>
      <c r="F16" s="10" t="str">
        <f aca="false">IFERROR(ROUND(AVERAGEIFS(Responses!$J$2:$J$200000,Responses!$A$2:$A$200000,$A16,Responses!$G$2:$G$200000,"ER"),2),"")</f>
        <v/>
      </c>
      <c r="G16" s="10" t="str">
        <f aca="false">IFERROR(ROUND(AVERAGEIFS(Responses!$J$2:$J$200000,Responses!$A$2:$A$200000,$A16,Responses!$G$2:$G$200000,"RE"),2),"")</f>
        <v/>
      </c>
      <c r="H16" s="10" t="str">
        <f aca="false">IFERROR(ROUND(AVERAGEIFS(Responses!$J$2:$J$200000,Responses!$A$2:$A$200000,$A16,Responses!$G$2:$G$200000,"EO"),2),"")</f>
        <v/>
      </c>
      <c r="I16" s="10" t="str">
        <f aca="false">IFERROR(ROUND(AVERAGEIFS(Responses!$J$2:$J$200000,Responses!$A$2:$A$200000,$A16,Responses!$G$2:$G$200000,"EM"),2),"")</f>
        <v/>
      </c>
      <c r="J16" s="10" t="str">
        <f aca="false">IFERROR(ROUND(AVERAGEIFS(Responses!$J$2:$J$200000,Responses!$A$2:$A$200000,$A16,Responses!$G$2:$G$200000,"DI"),2),"")</f>
        <v/>
      </c>
      <c r="K16" s="10" t="str">
        <f aca="false">IFERROR(ROUND(AVERAGEIFS(Responses!$J$2:$J$200000,Responses!$A$2:$A$200000,$A16,Responses!$G$2:$G$200000,"TC"),2),"")</f>
        <v/>
      </c>
      <c r="L16" s="10" t="str">
        <f aca="false">IFERROR(ROUND(AVERAGEIFS(Responses!$J$2:$J$200000,Responses!$A$2:$A$200000,$A16,Responses!$G$2:$G$200000,"DP"),2),"")</f>
        <v/>
      </c>
      <c r="M16" s="10" t="str">
        <f aca="false">IFERROR(ROUND(AVERAGEIFS(Responses!$J$2:$J$200000,Responses!$A$2:$A$200000,$A16,Responses!$G$2:$G$200000,"DS"),2),"")</f>
        <v/>
      </c>
      <c r="N16" s="10" t="str">
        <f aca="false">IFERROR(ROUND(AVERAGEIFS(Responses!$J$2:$J$200000,Responses!$A$2:$A$200000,$A16,Responses!$G$2:$G$200000,"PS"),2),"")</f>
        <v/>
      </c>
      <c r="O16" s="10" t="str">
        <f aca="false">IFERROR(ROUND(AVERAGEIFS(Responses!$J$2:$J$200000,Responses!$A$2:$A$200000,$A16,Responses!$G$2:$G$200000,"AS"),2),"")</f>
        <v/>
      </c>
      <c r="P16" s="10" t="str">
        <f aca="false">IFERROR(ROUND(AVERAGEIFS(Responses!$J$2:$J$200000,Responses!$A$2:$A$200000,$A16,Responses!$G$2:$G$200000,"IR"),2),"")</f>
        <v/>
      </c>
      <c r="Q16" s="10" t="str">
        <f aca="false">IFERROR(ROUND(AVERAGEIFS(Responses!$J$2:$J$200000,Responses!$A$2:$A$200000,$A16,Responses!$G$2:$G$200000,"PC"),2),"")</f>
        <v/>
      </c>
    </row>
    <row r="17" customFormat="false" ht="15" hidden="false" customHeight="false" outlineLevel="0" collapsed="false">
      <c r="A17" s="8"/>
      <c r="B17" s="9" t="str">
        <f aca="false">IFERROR(INDEX(Responses!$J$2:$J$200000,MATCH(1,INDEX((Responses!$A$2:$A$200000=$A17)*(Responses!$F$2:$F$200000="DEM_school_name"),0),0)),"")</f>
        <v/>
      </c>
      <c r="C17" s="9" t="str">
        <f aca="false">IFERROR(INDEX(Responses!$J$2:$J$200000,MATCH(1,INDEX((Responses!$A$2:$A$200000=$A17)*(Responses!$F$2:$F$200000="DEM_class_grade"),0),0)),"")</f>
        <v/>
      </c>
      <c r="D17" s="9" t="n">
        <f aca="false">COUNTIFS(Responses!$A$2:$A$200000,$A17,Responses!$D$2:$D$200000,"B",Responses!$J$2:$J$200000,"&gt;0")</f>
        <v>0</v>
      </c>
      <c r="E17" s="9" t="str">
        <f aca="false">IF(A17="","",71-D17)</f>
        <v/>
      </c>
      <c r="F17" s="10" t="str">
        <f aca="false">IFERROR(ROUND(AVERAGEIFS(Responses!$J$2:$J$200000,Responses!$A$2:$A$200000,$A17,Responses!$G$2:$G$200000,"ER"),2),"")</f>
        <v/>
      </c>
      <c r="G17" s="10" t="str">
        <f aca="false">IFERROR(ROUND(AVERAGEIFS(Responses!$J$2:$J$200000,Responses!$A$2:$A$200000,$A17,Responses!$G$2:$G$200000,"RE"),2),"")</f>
        <v/>
      </c>
      <c r="H17" s="10" t="str">
        <f aca="false">IFERROR(ROUND(AVERAGEIFS(Responses!$J$2:$J$200000,Responses!$A$2:$A$200000,$A17,Responses!$G$2:$G$200000,"EO"),2),"")</f>
        <v/>
      </c>
      <c r="I17" s="10" t="str">
        <f aca="false">IFERROR(ROUND(AVERAGEIFS(Responses!$J$2:$J$200000,Responses!$A$2:$A$200000,$A17,Responses!$G$2:$G$200000,"EM"),2),"")</f>
        <v/>
      </c>
      <c r="J17" s="10" t="str">
        <f aca="false">IFERROR(ROUND(AVERAGEIFS(Responses!$J$2:$J$200000,Responses!$A$2:$A$200000,$A17,Responses!$G$2:$G$200000,"DI"),2),"")</f>
        <v/>
      </c>
      <c r="K17" s="10" t="str">
        <f aca="false">IFERROR(ROUND(AVERAGEIFS(Responses!$J$2:$J$200000,Responses!$A$2:$A$200000,$A17,Responses!$G$2:$G$200000,"TC"),2),"")</f>
        <v/>
      </c>
      <c r="L17" s="10" t="str">
        <f aca="false">IFERROR(ROUND(AVERAGEIFS(Responses!$J$2:$J$200000,Responses!$A$2:$A$200000,$A17,Responses!$G$2:$G$200000,"DP"),2),"")</f>
        <v/>
      </c>
      <c r="M17" s="10" t="str">
        <f aca="false">IFERROR(ROUND(AVERAGEIFS(Responses!$J$2:$J$200000,Responses!$A$2:$A$200000,$A17,Responses!$G$2:$G$200000,"DS"),2),"")</f>
        <v/>
      </c>
      <c r="N17" s="10" t="str">
        <f aca="false">IFERROR(ROUND(AVERAGEIFS(Responses!$J$2:$J$200000,Responses!$A$2:$A$200000,$A17,Responses!$G$2:$G$200000,"PS"),2),"")</f>
        <v/>
      </c>
      <c r="O17" s="10" t="str">
        <f aca="false">IFERROR(ROUND(AVERAGEIFS(Responses!$J$2:$J$200000,Responses!$A$2:$A$200000,$A17,Responses!$G$2:$G$200000,"AS"),2),"")</f>
        <v/>
      </c>
      <c r="P17" s="10" t="str">
        <f aca="false">IFERROR(ROUND(AVERAGEIFS(Responses!$J$2:$J$200000,Responses!$A$2:$A$200000,$A17,Responses!$G$2:$G$200000,"IR"),2),"")</f>
        <v/>
      </c>
      <c r="Q17" s="10" t="str">
        <f aca="false">IFERROR(ROUND(AVERAGEIFS(Responses!$J$2:$J$200000,Responses!$A$2:$A$200000,$A17,Responses!$G$2:$G$200000,"PC"),2),"")</f>
        <v/>
      </c>
    </row>
    <row r="18" customFormat="false" ht="15" hidden="false" customHeight="false" outlineLevel="0" collapsed="false">
      <c r="A18" s="8"/>
      <c r="B18" s="9" t="str">
        <f aca="false">IFERROR(INDEX(Responses!$J$2:$J$200000,MATCH(1,INDEX((Responses!$A$2:$A$200000=$A18)*(Responses!$F$2:$F$200000="DEM_school_name"),0),0)),"")</f>
        <v/>
      </c>
      <c r="C18" s="9" t="str">
        <f aca="false">IFERROR(INDEX(Responses!$J$2:$J$200000,MATCH(1,INDEX((Responses!$A$2:$A$200000=$A18)*(Responses!$F$2:$F$200000="DEM_class_grade"),0),0)),"")</f>
        <v/>
      </c>
      <c r="D18" s="9" t="n">
        <f aca="false">COUNTIFS(Responses!$A$2:$A$200000,$A18,Responses!$D$2:$D$200000,"B",Responses!$J$2:$J$200000,"&gt;0")</f>
        <v>0</v>
      </c>
      <c r="E18" s="9" t="str">
        <f aca="false">IF(A18="","",71-D18)</f>
        <v/>
      </c>
      <c r="F18" s="10" t="str">
        <f aca="false">IFERROR(ROUND(AVERAGEIFS(Responses!$J$2:$J$200000,Responses!$A$2:$A$200000,$A18,Responses!$G$2:$G$200000,"ER"),2),"")</f>
        <v/>
      </c>
      <c r="G18" s="10" t="str">
        <f aca="false">IFERROR(ROUND(AVERAGEIFS(Responses!$J$2:$J$200000,Responses!$A$2:$A$200000,$A18,Responses!$G$2:$G$200000,"RE"),2),"")</f>
        <v/>
      </c>
      <c r="H18" s="10" t="str">
        <f aca="false">IFERROR(ROUND(AVERAGEIFS(Responses!$J$2:$J$200000,Responses!$A$2:$A$200000,$A18,Responses!$G$2:$G$200000,"EO"),2),"")</f>
        <v/>
      </c>
      <c r="I18" s="10" t="str">
        <f aca="false">IFERROR(ROUND(AVERAGEIFS(Responses!$J$2:$J$200000,Responses!$A$2:$A$200000,$A18,Responses!$G$2:$G$200000,"EM"),2),"")</f>
        <v/>
      </c>
      <c r="J18" s="10" t="str">
        <f aca="false">IFERROR(ROUND(AVERAGEIFS(Responses!$J$2:$J$200000,Responses!$A$2:$A$200000,$A18,Responses!$G$2:$G$200000,"DI"),2),"")</f>
        <v/>
      </c>
      <c r="K18" s="10" t="str">
        <f aca="false">IFERROR(ROUND(AVERAGEIFS(Responses!$J$2:$J$200000,Responses!$A$2:$A$200000,$A18,Responses!$G$2:$G$200000,"TC"),2),"")</f>
        <v/>
      </c>
      <c r="L18" s="10" t="str">
        <f aca="false">IFERROR(ROUND(AVERAGEIFS(Responses!$J$2:$J$200000,Responses!$A$2:$A$200000,$A18,Responses!$G$2:$G$200000,"DP"),2),"")</f>
        <v/>
      </c>
      <c r="M18" s="10" t="str">
        <f aca="false">IFERROR(ROUND(AVERAGEIFS(Responses!$J$2:$J$200000,Responses!$A$2:$A$200000,$A18,Responses!$G$2:$G$200000,"DS"),2),"")</f>
        <v/>
      </c>
      <c r="N18" s="10" t="str">
        <f aca="false">IFERROR(ROUND(AVERAGEIFS(Responses!$J$2:$J$200000,Responses!$A$2:$A$200000,$A18,Responses!$G$2:$G$200000,"PS"),2),"")</f>
        <v/>
      </c>
      <c r="O18" s="10" t="str">
        <f aca="false">IFERROR(ROUND(AVERAGEIFS(Responses!$J$2:$J$200000,Responses!$A$2:$A$200000,$A18,Responses!$G$2:$G$200000,"AS"),2),"")</f>
        <v/>
      </c>
      <c r="P18" s="10" t="str">
        <f aca="false">IFERROR(ROUND(AVERAGEIFS(Responses!$J$2:$J$200000,Responses!$A$2:$A$200000,$A18,Responses!$G$2:$G$200000,"IR"),2),"")</f>
        <v/>
      </c>
      <c r="Q18" s="10" t="str">
        <f aca="false">IFERROR(ROUND(AVERAGEIFS(Responses!$J$2:$J$200000,Responses!$A$2:$A$200000,$A18,Responses!$G$2:$G$200000,"PC"),2),"")</f>
        <v/>
      </c>
    </row>
    <row r="19" customFormat="false" ht="15" hidden="false" customHeight="false" outlineLevel="0" collapsed="false">
      <c r="A19" s="8"/>
      <c r="B19" s="9" t="str">
        <f aca="false">IFERROR(INDEX(Responses!$J$2:$J$200000,MATCH(1,INDEX((Responses!$A$2:$A$200000=$A19)*(Responses!$F$2:$F$200000="DEM_school_name"),0),0)),"")</f>
        <v/>
      </c>
      <c r="C19" s="9" t="str">
        <f aca="false">IFERROR(INDEX(Responses!$J$2:$J$200000,MATCH(1,INDEX((Responses!$A$2:$A$200000=$A19)*(Responses!$F$2:$F$200000="DEM_class_grade"),0),0)),"")</f>
        <v/>
      </c>
      <c r="D19" s="9" t="n">
        <f aca="false">COUNTIFS(Responses!$A$2:$A$200000,$A19,Responses!$D$2:$D$200000,"B",Responses!$J$2:$J$200000,"&gt;0")</f>
        <v>0</v>
      </c>
      <c r="E19" s="9" t="str">
        <f aca="false">IF(A19="","",71-D19)</f>
        <v/>
      </c>
      <c r="F19" s="10" t="str">
        <f aca="false">IFERROR(ROUND(AVERAGEIFS(Responses!$J$2:$J$200000,Responses!$A$2:$A$200000,$A19,Responses!$G$2:$G$200000,"ER"),2),"")</f>
        <v/>
      </c>
      <c r="G19" s="10" t="str">
        <f aca="false">IFERROR(ROUND(AVERAGEIFS(Responses!$J$2:$J$200000,Responses!$A$2:$A$200000,$A19,Responses!$G$2:$G$200000,"RE"),2),"")</f>
        <v/>
      </c>
      <c r="H19" s="10" t="str">
        <f aca="false">IFERROR(ROUND(AVERAGEIFS(Responses!$J$2:$J$200000,Responses!$A$2:$A$200000,$A19,Responses!$G$2:$G$200000,"EO"),2),"")</f>
        <v/>
      </c>
      <c r="I19" s="10" t="str">
        <f aca="false">IFERROR(ROUND(AVERAGEIFS(Responses!$J$2:$J$200000,Responses!$A$2:$A$200000,$A19,Responses!$G$2:$G$200000,"EM"),2),"")</f>
        <v/>
      </c>
      <c r="J19" s="10" t="str">
        <f aca="false">IFERROR(ROUND(AVERAGEIFS(Responses!$J$2:$J$200000,Responses!$A$2:$A$200000,$A19,Responses!$G$2:$G$200000,"DI"),2),"")</f>
        <v/>
      </c>
      <c r="K19" s="10" t="str">
        <f aca="false">IFERROR(ROUND(AVERAGEIFS(Responses!$J$2:$J$200000,Responses!$A$2:$A$200000,$A19,Responses!$G$2:$G$200000,"TC"),2),"")</f>
        <v/>
      </c>
      <c r="L19" s="10" t="str">
        <f aca="false">IFERROR(ROUND(AVERAGEIFS(Responses!$J$2:$J$200000,Responses!$A$2:$A$200000,$A19,Responses!$G$2:$G$200000,"DP"),2),"")</f>
        <v/>
      </c>
      <c r="M19" s="10" t="str">
        <f aca="false">IFERROR(ROUND(AVERAGEIFS(Responses!$J$2:$J$200000,Responses!$A$2:$A$200000,$A19,Responses!$G$2:$G$200000,"DS"),2),"")</f>
        <v/>
      </c>
      <c r="N19" s="10" t="str">
        <f aca="false">IFERROR(ROUND(AVERAGEIFS(Responses!$J$2:$J$200000,Responses!$A$2:$A$200000,$A19,Responses!$G$2:$G$200000,"PS"),2),"")</f>
        <v/>
      </c>
      <c r="O19" s="10" t="str">
        <f aca="false">IFERROR(ROUND(AVERAGEIFS(Responses!$J$2:$J$200000,Responses!$A$2:$A$200000,$A19,Responses!$G$2:$G$200000,"AS"),2),"")</f>
        <v/>
      </c>
      <c r="P19" s="10" t="str">
        <f aca="false">IFERROR(ROUND(AVERAGEIFS(Responses!$J$2:$J$200000,Responses!$A$2:$A$200000,$A19,Responses!$G$2:$G$200000,"IR"),2),"")</f>
        <v/>
      </c>
      <c r="Q19" s="10" t="str">
        <f aca="false">IFERROR(ROUND(AVERAGEIFS(Responses!$J$2:$J$200000,Responses!$A$2:$A$200000,$A19,Responses!$G$2:$G$200000,"PC"),2),"")</f>
        <v/>
      </c>
    </row>
    <row r="20" customFormat="false" ht="15" hidden="false" customHeight="false" outlineLevel="0" collapsed="false">
      <c r="A20" s="8"/>
      <c r="B20" s="9" t="str">
        <f aca="false">IFERROR(INDEX(Responses!$J$2:$J$200000,MATCH(1,INDEX((Responses!$A$2:$A$200000=$A20)*(Responses!$F$2:$F$200000="DEM_school_name"),0),0)),"")</f>
        <v/>
      </c>
      <c r="C20" s="9" t="str">
        <f aca="false">IFERROR(INDEX(Responses!$J$2:$J$200000,MATCH(1,INDEX((Responses!$A$2:$A$200000=$A20)*(Responses!$F$2:$F$200000="DEM_class_grade"),0),0)),"")</f>
        <v/>
      </c>
      <c r="D20" s="9" t="n">
        <f aca="false">COUNTIFS(Responses!$A$2:$A$200000,$A20,Responses!$D$2:$D$200000,"B",Responses!$J$2:$J$200000,"&gt;0")</f>
        <v>0</v>
      </c>
      <c r="E20" s="9" t="str">
        <f aca="false">IF(A20="","",71-D20)</f>
        <v/>
      </c>
      <c r="F20" s="10" t="str">
        <f aca="false">IFERROR(ROUND(AVERAGEIFS(Responses!$J$2:$J$200000,Responses!$A$2:$A$200000,$A20,Responses!$G$2:$G$200000,"ER"),2),"")</f>
        <v/>
      </c>
      <c r="G20" s="10" t="str">
        <f aca="false">IFERROR(ROUND(AVERAGEIFS(Responses!$J$2:$J$200000,Responses!$A$2:$A$200000,$A20,Responses!$G$2:$G$200000,"RE"),2),"")</f>
        <v/>
      </c>
      <c r="H20" s="10" t="str">
        <f aca="false">IFERROR(ROUND(AVERAGEIFS(Responses!$J$2:$J$200000,Responses!$A$2:$A$200000,$A20,Responses!$G$2:$G$200000,"EO"),2),"")</f>
        <v/>
      </c>
      <c r="I20" s="10" t="str">
        <f aca="false">IFERROR(ROUND(AVERAGEIFS(Responses!$J$2:$J$200000,Responses!$A$2:$A$200000,$A20,Responses!$G$2:$G$200000,"EM"),2),"")</f>
        <v/>
      </c>
      <c r="J20" s="10" t="str">
        <f aca="false">IFERROR(ROUND(AVERAGEIFS(Responses!$J$2:$J$200000,Responses!$A$2:$A$200000,$A20,Responses!$G$2:$G$200000,"DI"),2),"")</f>
        <v/>
      </c>
      <c r="K20" s="10" t="str">
        <f aca="false">IFERROR(ROUND(AVERAGEIFS(Responses!$J$2:$J$200000,Responses!$A$2:$A$200000,$A20,Responses!$G$2:$G$200000,"TC"),2),"")</f>
        <v/>
      </c>
      <c r="L20" s="10" t="str">
        <f aca="false">IFERROR(ROUND(AVERAGEIFS(Responses!$J$2:$J$200000,Responses!$A$2:$A$200000,$A20,Responses!$G$2:$G$200000,"DP"),2),"")</f>
        <v/>
      </c>
      <c r="M20" s="10" t="str">
        <f aca="false">IFERROR(ROUND(AVERAGEIFS(Responses!$J$2:$J$200000,Responses!$A$2:$A$200000,$A20,Responses!$G$2:$G$200000,"DS"),2),"")</f>
        <v/>
      </c>
      <c r="N20" s="10" t="str">
        <f aca="false">IFERROR(ROUND(AVERAGEIFS(Responses!$J$2:$J$200000,Responses!$A$2:$A$200000,$A20,Responses!$G$2:$G$200000,"PS"),2),"")</f>
        <v/>
      </c>
      <c r="O20" s="10" t="str">
        <f aca="false">IFERROR(ROUND(AVERAGEIFS(Responses!$J$2:$J$200000,Responses!$A$2:$A$200000,$A20,Responses!$G$2:$G$200000,"AS"),2),"")</f>
        <v/>
      </c>
      <c r="P20" s="10" t="str">
        <f aca="false">IFERROR(ROUND(AVERAGEIFS(Responses!$J$2:$J$200000,Responses!$A$2:$A$200000,$A20,Responses!$G$2:$G$200000,"IR"),2),"")</f>
        <v/>
      </c>
      <c r="Q20" s="10" t="str">
        <f aca="false">IFERROR(ROUND(AVERAGEIFS(Responses!$J$2:$J$200000,Responses!$A$2:$A$200000,$A20,Responses!$G$2:$G$200000,"PC"),2),"")</f>
        <v/>
      </c>
    </row>
    <row r="21" customFormat="false" ht="15" hidden="false" customHeight="false" outlineLevel="0" collapsed="false">
      <c r="A21" s="8"/>
      <c r="B21" s="9" t="str">
        <f aca="false">IFERROR(INDEX(Responses!$J$2:$J$200000,MATCH(1,INDEX((Responses!$A$2:$A$200000=$A21)*(Responses!$F$2:$F$200000="DEM_school_name"),0),0)),"")</f>
        <v/>
      </c>
      <c r="C21" s="9" t="str">
        <f aca="false">IFERROR(INDEX(Responses!$J$2:$J$200000,MATCH(1,INDEX((Responses!$A$2:$A$200000=$A21)*(Responses!$F$2:$F$200000="DEM_class_grade"),0),0)),"")</f>
        <v/>
      </c>
      <c r="D21" s="9" t="n">
        <f aca="false">COUNTIFS(Responses!$A$2:$A$200000,$A21,Responses!$D$2:$D$200000,"B",Responses!$J$2:$J$200000,"&gt;0")</f>
        <v>0</v>
      </c>
      <c r="E21" s="9" t="str">
        <f aca="false">IF(A21="","",71-D21)</f>
        <v/>
      </c>
      <c r="F21" s="10" t="str">
        <f aca="false">IFERROR(ROUND(AVERAGEIFS(Responses!$J$2:$J$200000,Responses!$A$2:$A$200000,$A21,Responses!$G$2:$G$200000,"ER"),2),"")</f>
        <v/>
      </c>
      <c r="G21" s="10" t="str">
        <f aca="false">IFERROR(ROUND(AVERAGEIFS(Responses!$J$2:$J$200000,Responses!$A$2:$A$200000,$A21,Responses!$G$2:$G$200000,"RE"),2),"")</f>
        <v/>
      </c>
      <c r="H21" s="10" t="str">
        <f aca="false">IFERROR(ROUND(AVERAGEIFS(Responses!$J$2:$J$200000,Responses!$A$2:$A$200000,$A21,Responses!$G$2:$G$200000,"EO"),2),"")</f>
        <v/>
      </c>
      <c r="I21" s="10" t="str">
        <f aca="false">IFERROR(ROUND(AVERAGEIFS(Responses!$J$2:$J$200000,Responses!$A$2:$A$200000,$A21,Responses!$G$2:$G$200000,"EM"),2),"")</f>
        <v/>
      </c>
      <c r="J21" s="10" t="str">
        <f aca="false">IFERROR(ROUND(AVERAGEIFS(Responses!$J$2:$J$200000,Responses!$A$2:$A$200000,$A21,Responses!$G$2:$G$200000,"DI"),2),"")</f>
        <v/>
      </c>
      <c r="K21" s="10" t="str">
        <f aca="false">IFERROR(ROUND(AVERAGEIFS(Responses!$J$2:$J$200000,Responses!$A$2:$A$200000,$A21,Responses!$G$2:$G$200000,"TC"),2),"")</f>
        <v/>
      </c>
      <c r="L21" s="10" t="str">
        <f aca="false">IFERROR(ROUND(AVERAGEIFS(Responses!$J$2:$J$200000,Responses!$A$2:$A$200000,$A21,Responses!$G$2:$G$200000,"DP"),2),"")</f>
        <v/>
      </c>
      <c r="M21" s="10" t="str">
        <f aca="false">IFERROR(ROUND(AVERAGEIFS(Responses!$J$2:$J$200000,Responses!$A$2:$A$200000,$A21,Responses!$G$2:$G$200000,"DS"),2),"")</f>
        <v/>
      </c>
      <c r="N21" s="10" t="str">
        <f aca="false">IFERROR(ROUND(AVERAGEIFS(Responses!$J$2:$J$200000,Responses!$A$2:$A$200000,$A21,Responses!$G$2:$G$200000,"PS"),2),"")</f>
        <v/>
      </c>
      <c r="O21" s="10" t="str">
        <f aca="false">IFERROR(ROUND(AVERAGEIFS(Responses!$J$2:$J$200000,Responses!$A$2:$A$200000,$A21,Responses!$G$2:$G$200000,"AS"),2),"")</f>
        <v/>
      </c>
      <c r="P21" s="10" t="str">
        <f aca="false">IFERROR(ROUND(AVERAGEIFS(Responses!$J$2:$J$200000,Responses!$A$2:$A$200000,$A21,Responses!$G$2:$G$200000,"IR"),2),"")</f>
        <v/>
      </c>
      <c r="Q21" s="10" t="str">
        <f aca="false">IFERROR(ROUND(AVERAGEIFS(Responses!$J$2:$J$200000,Responses!$A$2:$A$200000,$A21,Responses!$G$2:$G$200000,"PC"),2),"")</f>
        <v/>
      </c>
    </row>
    <row r="22" customFormat="false" ht="15" hidden="false" customHeight="false" outlineLevel="0" collapsed="false">
      <c r="A22" s="8"/>
      <c r="B22" s="9" t="str">
        <f aca="false">IFERROR(INDEX(Responses!$J$2:$J$200000,MATCH(1,INDEX((Responses!$A$2:$A$200000=$A22)*(Responses!$F$2:$F$200000="DEM_school_name"),0),0)),"")</f>
        <v/>
      </c>
      <c r="C22" s="9" t="str">
        <f aca="false">IFERROR(INDEX(Responses!$J$2:$J$200000,MATCH(1,INDEX((Responses!$A$2:$A$200000=$A22)*(Responses!$F$2:$F$200000="DEM_class_grade"),0),0)),"")</f>
        <v/>
      </c>
      <c r="D22" s="9" t="n">
        <f aca="false">COUNTIFS(Responses!$A$2:$A$200000,$A22,Responses!$D$2:$D$200000,"B",Responses!$J$2:$J$200000,"&gt;0")</f>
        <v>0</v>
      </c>
      <c r="E22" s="9" t="str">
        <f aca="false">IF(A22="","",71-D22)</f>
        <v/>
      </c>
      <c r="F22" s="10" t="str">
        <f aca="false">IFERROR(ROUND(AVERAGEIFS(Responses!$J$2:$J$200000,Responses!$A$2:$A$200000,$A22,Responses!$G$2:$G$200000,"ER"),2),"")</f>
        <v/>
      </c>
      <c r="G22" s="10" t="str">
        <f aca="false">IFERROR(ROUND(AVERAGEIFS(Responses!$J$2:$J$200000,Responses!$A$2:$A$200000,$A22,Responses!$G$2:$G$200000,"RE"),2),"")</f>
        <v/>
      </c>
      <c r="H22" s="10" t="str">
        <f aca="false">IFERROR(ROUND(AVERAGEIFS(Responses!$J$2:$J$200000,Responses!$A$2:$A$200000,$A22,Responses!$G$2:$G$200000,"EO"),2),"")</f>
        <v/>
      </c>
      <c r="I22" s="10" t="str">
        <f aca="false">IFERROR(ROUND(AVERAGEIFS(Responses!$J$2:$J$200000,Responses!$A$2:$A$200000,$A22,Responses!$G$2:$G$200000,"EM"),2),"")</f>
        <v/>
      </c>
      <c r="J22" s="10" t="str">
        <f aca="false">IFERROR(ROUND(AVERAGEIFS(Responses!$J$2:$J$200000,Responses!$A$2:$A$200000,$A22,Responses!$G$2:$G$200000,"DI"),2),"")</f>
        <v/>
      </c>
      <c r="K22" s="10" t="str">
        <f aca="false">IFERROR(ROUND(AVERAGEIFS(Responses!$J$2:$J$200000,Responses!$A$2:$A$200000,$A22,Responses!$G$2:$G$200000,"TC"),2),"")</f>
        <v/>
      </c>
      <c r="L22" s="10" t="str">
        <f aca="false">IFERROR(ROUND(AVERAGEIFS(Responses!$J$2:$J$200000,Responses!$A$2:$A$200000,$A22,Responses!$G$2:$G$200000,"DP"),2),"")</f>
        <v/>
      </c>
      <c r="M22" s="10" t="str">
        <f aca="false">IFERROR(ROUND(AVERAGEIFS(Responses!$J$2:$J$200000,Responses!$A$2:$A$200000,$A22,Responses!$G$2:$G$200000,"DS"),2),"")</f>
        <v/>
      </c>
      <c r="N22" s="10" t="str">
        <f aca="false">IFERROR(ROUND(AVERAGEIFS(Responses!$J$2:$J$200000,Responses!$A$2:$A$200000,$A22,Responses!$G$2:$G$200000,"PS"),2),"")</f>
        <v/>
      </c>
      <c r="O22" s="10" t="str">
        <f aca="false">IFERROR(ROUND(AVERAGEIFS(Responses!$J$2:$J$200000,Responses!$A$2:$A$200000,$A22,Responses!$G$2:$G$200000,"AS"),2),"")</f>
        <v/>
      </c>
      <c r="P22" s="10" t="str">
        <f aca="false">IFERROR(ROUND(AVERAGEIFS(Responses!$J$2:$J$200000,Responses!$A$2:$A$200000,$A22,Responses!$G$2:$G$200000,"IR"),2),"")</f>
        <v/>
      </c>
      <c r="Q22" s="10" t="str">
        <f aca="false">IFERROR(ROUND(AVERAGEIFS(Responses!$J$2:$J$200000,Responses!$A$2:$A$200000,$A22,Responses!$G$2:$G$200000,"PC"),2),"")</f>
        <v/>
      </c>
    </row>
    <row r="23" customFormat="false" ht="15" hidden="false" customHeight="false" outlineLevel="0" collapsed="false">
      <c r="A23" s="8"/>
      <c r="B23" s="9" t="str">
        <f aca="false">IFERROR(INDEX(Responses!$J$2:$J$200000,MATCH(1,INDEX((Responses!$A$2:$A$200000=$A23)*(Responses!$F$2:$F$200000="DEM_school_name"),0),0)),"")</f>
        <v/>
      </c>
      <c r="C23" s="9" t="str">
        <f aca="false">IFERROR(INDEX(Responses!$J$2:$J$200000,MATCH(1,INDEX((Responses!$A$2:$A$200000=$A23)*(Responses!$F$2:$F$200000="DEM_class_grade"),0),0)),"")</f>
        <v/>
      </c>
      <c r="D23" s="9" t="n">
        <f aca="false">COUNTIFS(Responses!$A$2:$A$200000,$A23,Responses!$D$2:$D$200000,"B",Responses!$J$2:$J$200000,"&gt;0")</f>
        <v>0</v>
      </c>
      <c r="E23" s="9" t="str">
        <f aca="false">IF(A23="","",71-D23)</f>
        <v/>
      </c>
      <c r="F23" s="10" t="str">
        <f aca="false">IFERROR(ROUND(AVERAGEIFS(Responses!$J$2:$J$200000,Responses!$A$2:$A$200000,$A23,Responses!$G$2:$G$200000,"ER"),2),"")</f>
        <v/>
      </c>
      <c r="G23" s="10" t="str">
        <f aca="false">IFERROR(ROUND(AVERAGEIFS(Responses!$J$2:$J$200000,Responses!$A$2:$A$200000,$A23,Responses!$G$2:$G$200000,"RE"),2),"")</f>
        <v/>
      </c>
      <c r="H23" s="10" t="str">
        <f aca="false">IFERROR(ROUND(AVERAGEIFS(Responses!$J$2:$J$200000,Responses!$A$2:$A$200000,$A23,Responses!$G$2:$G$200000,"EO"),2),"")</f>
        <v/>
      </c>
      <c r="I23" s="10" t="str">
        <f aca="false">IFERROR(ROUND(AVERAGEIFS(Responses!$J$2:$J$200000,Responses!$A$2:$A$200000,$A23,Responses!$G$2:$G$200000,"EM"),2),"")</f>
        <v/>
      </c>
      <c r="J23" s="10" t="str">
        <f aca="false">IFERROR(ROUND(AVERAGEIFS(Responses!$J$2:$J$200000,Responses!$A$2:$A$200000,$A23,Responses!$G$2:$G$200000,"DI"),2),"")</f>
        <v/>
      </c>
      <c r="K23" s="10" t="str">
        <f aca="false">IFERROR(ROUND(AVERAGEIFS(Responses!$J$2:$J$200000,Responses!$A$2:$A$200000,$A23,Responses!$G$2:$G$200000,"TC"),2),"")</f>
        <v/>
      </c>
      <c r="L23" s="10" t="str">
        <f aca="false">IFERROR(ROUND(AVERAGEIFS(Responses!$J$2:$J$200000,Responses!$A$2:$A$200000,$A23,Responses!$G$2:$G$200000,"DP"),2),"")</f>
        <v/>
      </c>
      <c r="M23" s="10" t="str">
        <f aca="false">IFERROR(ROUND(AVERAGEIFS(Responses!$J$2:$J$200000,Responses!$A$2:$A$200000,$A23,Responses!$G$2:$G$200000,"DS"),2),"")</f>
        <v/>
      </c>
      <c r="N23" s="10" t="str">
        <f aca="false">IFERROR(ROUND(AVERAGEIFS(Responses!$J$2:$J$200000,Responses!$A$2:$A$200000,$A23,Responses!$G$2:$G$200000,"PS"),2),"")</f>
        <v/>
      </c>
      <c r="O23" s="10" t="str">
        <f aca="false">IFERROR(ROUND(AVERAGEIFS(Responses!$J$2:$J$200000,Responses!$A$2:$A$200000,$A23,Responses!$G$2:$G$200000,"AS"),2),"")</f>
        <v/>
      </c>
      <c r="P23" s="10" t="str">
        <f aca="false">IFERROR(ROUND(AVERAGEIFS(Responses!$J$2:$J$200000,Responses!$A$2:$A$200000,$A23,Responses!$G$2:$G$200000,"IR"),2),"")</f>
        <v/>
      </c>
      <c r="Q23" s="10" t="str">
        <f aca="false">IFERROR(ROUND(AVERAGEIFS(Responses!$J$2:$J$200000,Responses!$A$2:$A$200000,$A23,Responses!$G$2:$G$200000,"PC"),2),"")</f>
        <v/>
      </c>
    </row>
    <row r="24" customFormat="false" ht="15" hidden="false" customHeight="false" outlineLevel="0" collapsed="false">
      <c r="A24" s="8"/>
      <c r="B24" s="9" t="str">
        <f aca="false">IFERROR(INDEX(Responses!$J$2:$J$200000,MATCH(1,INDEX((Responses!$A$2:$A$200000=$A24)*(Responses!$F$2:$F$200000="DEM_school_name"),0),0)),"")</f>
        <v/>
      </c>
      <c r="C24" s="9" t="str">
        <f aca="false">IFERROR(INDEX(Responses!$J$2:$J$200000,MATCH(1,INDEX((Responses!$A$2:$A$200000=$A24)*(Responses!$F$2:$F$200000="DEM_class_grade"),0),0)),"")</f>
        <v/>
      </c>
      <c r="D24" s="9" t="n">
        <f aca="false">COUNTIFS(Responses!$A$2:$A$200000,$A24,Responses!$D$2:$D$200000,"B",Responses!$J$2:$J$200000,"&gt;0")</f>
        <v>0</v>
      </c>
      <c r="E24" s="9" t="str">
        <f aca="false">IF(A24="","",71-D24)</f>
        <v/>
      </c>
      <c r="F24" s="10" t="str">
        <f aca="false">IFERROR(ROUND(AVERAGEIFS(Responses!$J$2:$J$200000,Responses!$A$2:$A$200000,$A24,Responses!$G$2:$G$200000,"ER"),2),"")</f>
        <v/>
      </c>
      <c r="G24" s="10" t="str">
        <f aca="false">IFERROR(ROUND(AVERAGEIFS(Responses!$J$2:$J$200000,Responses!$A$2:$A$200000,$A24,Responses!$G$2:$G$200000,"RE"),2),"")</f>
        <v/>
      </c>
      <c r="H24" s="10" t="str">
        <f aca="false">IFERROR(ROUND(AVERAGEIFS(Responses!$J$2:$J$200000,Responses!$A$2:$A$200000,$A24,Responses!$G$2:$G$200000,"EO"),2),"")</f>
        <v/>
      </c>
      <c r="I24" s="10" t="str">
        <f aca="false">IFERROR(ROUND(AVERAGEIFS(Responses!$J$2:$J$200000,Responses!$A$2:$A$200000,$A24,Responses!$G$2:$G$200000,"EM"),2),"")</f>
        <v/>
      </c>
      <c r="J24" s="10" t="str">
        <f aca="false">IFERROR(ROUND(AVERAGEIFS(Responses!$J$2:$J$200000,Responses!$A$2:$A$200000,$A24,Responses!$G$2:$G$200000,"DI"),2),"")</f>
        <v/>
      </c>
      <c r="K24" s="10" t="str">
        <f aca="false">IFERROR(ROUND(AVERAGEIFS(Responses!$J$2:$J$200000,Responses!$A$2:$A$200000,$A24,Responses!$G$2:$G$200000,"TC"),2),"")</f>
        <v/>
      </c>
      <c r="L24" s="10" t="str">
        <f aca="false">IFERROR(ROUND(AVERAGEIFS(Responses!$J$2:$J$200000,Responses!$A$2:$A$200000,$A24,Responses!$G$2:$G$200000,"DP"),2),"")</f>
        <v/>
      </c>
      <c r="M24" s="10" t="str">
        <f aca="false">IFERROR(ROUND(AVERAGEIFS(Responses!$J$2:$J$200000,Responses!$A$2:$A$200000,$A24,Responses!$G$2:$G$200000,"DS"),2),"")</f>
        <v/>
      </c>
      <c r="N24" s="10" t="str">
        <f aca="false">IFERROR(ROUND(AVERAGEIFS(Responses!$J$2:$J$200000,Responses!$A$2:$A$200000,$A24,Responses!$G$2:$G$200000,"PS"),2),"")</f>
        <v/>
      </c>
      <c r="O24" s="10" t="str">
        <f aca="false">IFERROR(ROUND(AVERAGEIFS(Responses!$J$2:$J$200000,Responses!$A$2:$A$200000,$A24,Responses!$G$2:$G$200000,"AS"),2),"")</f>
        <v/>
      </c>
      <c r="P24" s="10" t="str">
        <f aca="false">IFERROR(ROUND(AVERAGEIFS(Responses!$J$2:$J$200000,Responses!$A$2:$A$200000,$A24,Responses!$G$2:$G$200000,"IR"),2),"")</f>
        <v/>
      </c>
      <c r="Q24" s="10" t="str">
        <f aca="false">IFERROR(ROUND(AVERAGEIFS(Responses!$J$2:$J$200000,Responses!$A$2:$A$200000,$A24,Responses!$G$2:$G$200000,"PC"),2),"")</f>
        <v/>
      </c>
    </row>
    <row r="25" customFormat="false" ht="15" hidden="false" customHeight="false" outlineLevel="0" collapsed="false">
      <c r="A25" s="8"/>
      <c r="B25" s="9" t="str">
        <f aca="false">IFERROR(INDEX(Responses!$J$2:$J$200000,MATCH(1,INDEX((Responses!$A$2:$A$200000=$A25)*(Responses!$F$2:$F$200000="DEM_school_name"),0),0)),"")</f>
        <v/>
      </c>
      <c r="C25" s="9" t="str">
        <f aca="false">IFERROR(INDEX(Responses!$J$2:$J$200000,MATCH(1,INDEX((Responses!$A$2:$A$200000=$A25)*(Responses!$F$2:$F$200000="DEM_class_grade"),0),0)),"")</f>
        <v/>
      </c>
      <c r="D25" s="9" t="n">
        <f aca="false">COUNTIFS(Responses!$A$2:$A$200000,$A25,Responses!$D$2:$D$200000,"B",Responses!$J$2:$J$200000,"&gt;0")</f>
        <v>0</v>
      </c>
      <c r="E25" s="9" t="str">
        <f aca="false">IF(A25="","",71-D25)</f>
        <v/>
      </c>
      <c r="F25" s="10" t="str">
        <f aca="false">IFERROR(ROUND(AVERAGEIFS(Responses!$J$2:$J$200000,Responses!$A$2:$A$200000,$A25,Responses!$G$2:$G$200000,"ER"),2),"")</f>
        <v/>
      </c>
      <c r="G25" s="10" t="str">
        <f aca="false">IFERROR(ROUND(AVERAGEIFS(Responses!$J$2:$J$200000,Responses!$A$2:$A$200000,$A25,Responses!$G$2:$G$200000,"RE"),2),"")</f>
        <v/>
      </c>
      <c r="H25" s="10" t="str">
        <f aca="false">IFERROR(ROUND(AVERAGEIFS(Responses!$J$2:$J$200000,Responses!$A$2:$A$200000,$A25,Responses!$G$2:$G$200000,"EO"),2),"")</f>
        <v/>
      </c>
      <c r="I25" s="10" t="str">
        <f aca="false">IFERROR(ROUND(AVERAGEIFS(Responses!$J$2:$J$200000,Responses!$A$2:$A$200000,$A25,Responses!$G$2:$G$200000,"EM"),2),"")</f>
        <v/>
      </c>
      <c r="J25" s="10" t="str">
        <f aca="false">IFERROR(ROUND(AVERAGEIFS(Responses!$J$2:$J$200000,Responses!$A$2:$A$200000,$A25,Responses!$G$2:$G$200000,"DI"),2),"")</f>
        <v/>
      </c>
      <c r="K25" s="10" t="str">
        <f aca="false">IFERROR(ROUND(AVERAGEIFS(Responses!$J$2:$J$200000,Responses!$A$2:$A$200000,$A25,Responses!$G$2:$G$200000,"TC"),2),"")</f>
        <v/>
      </c>
      <c r="L25" s="10" t="str">
        <f aca="false">IFERROR(ROUND(AVERAGEIFS(Responses!$J$2:$J$200000,Responses!$A$2:$A$200000,$A25,Responses!$G$2:$G$200000,"DP"),2),"")</f>
        <v/>
      </c>
      <c r="M25" s="10" t="str">
        <f aca="false">IFERROR(ROUND(AVERAGEIFS(Responses!$J$2:$J$200000,Responses!$A$2:$A$200000,$A25,Responses!$G$2:$G$200000,"DS"),2),"")</f>
        <v/>
      </c>
      <c r="N25" s="10" t="str">
        <f aca="false">IFERROR(ROUND(AVERAGEIFS(Responses!$J$2:$J$200000,Responses!$A$2:$A$200000,$A25,Responses!$G$2:$G$200000,"PS"),2),"")</f>
        <v/>
      </c>
      <c r="O25" s="10" t="str">
        <f aca="false">IFERROR(ROUND(AVERAGEIFS(Responses!$J$2:$J$200000,Responses!$A$2:$A$200000,$A25,Responses!$G$2:$G$200000,"AS"),2),"")</f>
        <v/>
      </c>
      <c r="P25" s="10" t="str">
        <f aca="false">IFERROR(ROUND(AVERAGEIFS(Responses!$J$2:$J$200000,Responses!$A$2:$A$200000,$A25,Responses!$G$2:$G$200000,"IR"),2),"")</f>
        <v/>
      </c>
      <c r="Q25" s="10" t="str">
        <f aca="false">IFERROR(ROUND(AVERAGEIFS(Responses!$J$2:$J$200000,Responses!$A$2:$A$200000,$A25,Responses!$G$2:$G$200000,"PC"),2),"")</f>
        <v/>
      </c>
    </row>
    <row r="26" customFormat="false" ht="15" hidden="false" customHeight="false" outlineLevel="0" collapsed="false">
      <c r="A26" s="8"/>
      <c r="B26" s="9" t="str">
        <f aca="false">IFERROR(INDEX(Responses!$J$2:$J$200000,MATCH(1,INDEX((Responses!$A$2:$A$200000=$A26)*(Responses!$F$2:$F$200000="DEM_school_name"),0),0)),"")</f>
        <v/>
      </c>
      <c r="C26" s="9" t="str">
        <f aca="false">IFERROR(INDEX(Responses!$J$2:$J$200000,MATCH(1,INDEX((Responses!$A$2:$A$200000=$A26)*(Responses!$F$2:$F$200000="DEM_class_grade"),0),0)),"")</f>
        <v/>
      </c>
      <c r="D26" s="9" t="n">
        <f aca="false">COUNTIFS(Responses!$A$2:$A$200000,$A26,Responses!$D$2:$D$200000,"B",Responses!$J$2:$J$200000,"&gt;0")</f>
        <v>0</v>
      </c>
      <c r="E26" s="9" t="str">
        <f aca="false">IF(A26="","",71-D26)</f>
        <v/>
      </c>
      <c r="F26" s="10" t="str">
        <f aca="false">IFERROR(ROUND(AVERAGEIFS(Responses!$J$2:$J$200000,Responses!$A$2:$A$200000,$A26,Responses!$G$2:$G$200000,"ER"),2),"")</f>
        <v/>
      </c>
      <c r="G26" s="10" t="str">
        <f aca="false">IFERROR(ROUND(AVERAGEIFS(Responses!$J$2:$J$200000,Responses!$A$2:$A$200000,$A26,Responses!$G$2:$G$200000,"RE"),2),"")</f>
        <v/>
      </c>
      <c r="H26" s="10" t="str">
        <f aca="false">IFERROR(ROUND(AVERAGEIFS(Responses!$J$2:$J$200000,Responses!$A$2:$A$200000,$A26,Responses!$G$2:$G$200000,"EO"),2),"")</f>
        <v/>
      </c>
      <c r="I26" s="10" t="str">
        <f aca="false">IFERROR(ROUND(AVERAGEIFS(Responses!$J$2:$J$200000,Responses!$A$2:$A$200000,$A26,Responses!$G$2:$G$200000,"EM"),2),"")</f>
        <v/>
      </c>
      <c r="J26" s="10" t="str">
        <f aca="false">IFERROR(ROUND(AVERAGEIFS(Responses!$J$2:$J$200000,Responses!$A$2:$A$200000,$A26,Responses!$G$2:$G$200000,"DI"),2),"")</f>
        <v/>
      </c>
      <c r="K26" s="10" t="str">
        <f aca="false">IFERROR(ROUND(AVERAGEIFS(Responses!$J$2:$J$200000,Responses!$A$2:$A$200000,$A26,Responses!$G$2:$G$200000,"TC"),2),"")</f>
        <v/>
      </c>
      <c r="L26" s="10" t="str">
        <f aca="false">IFERROR(ROUND(AVERAGEIFS(Responses!$J$2:$J$200000,Responses!$A$2:$A$200000,$A26,Responses!$G$2:$G$200000,"DP"),2),"")</f>
        <v/>
      </c>
      <c r="M26" s="10" t="str">
        <f aca="false">IFERROR(ROUND(AVERAGEIFS(Responses!$J$2:$J$200000,Responses!$A$2:$A$200000,$A26,Responses!$G$2:$G$200000,"DS"),2),"")</f>
        <v/>
      </c>
      <c r="N26" s="10" t="str">
        <f aca="false">IFERROR(ROUND(AVERAGEIFS(Responses!$J$2:$J$200000,Responses!$A$2:$A$200000,$A26,Responses!$G$2:$G$200000,"PS"),2),"")</f>
        <v/>
      </c>
      <c r="O26" s="10" t="str">
        <f aca="false">IFERROR(ROUND(AVERAGEIFS(Responses!$J$2:$J$200000,Responses!$A$2:$A$200000,$A26,Responses!$G$2:$G$200000,"AS"),2),"")</f>
        <v/>
      </c>
      <c r="P26" s="10" t="str">
        <f aca="false">IFERROR(ROUND(AVERAGEIFS(Responses!$J$2:$J$200000,Responses!$A$2:$A$200000,$A26,Responses!$G$2:$G$200000,"IR"),2),"")</f>
        <v/>
      </c>
      <c r="Q26" s="10" t="str">
        <f aca="false">IFERROR(ROUND(AVERAGEIFS(Responses!$J$2:$J$200000,Responses!$A$2:$A$200000,$A26,Responses!$G$2:$G$200000,"PC"),2),"")</f>
        <v/>
      </c>
    </row>
    <row r="27" customFormat="false" ht="15" hidden="false" customHeight="false" outlineLevel="0" collapsed="false">
      <c r="A27" s="8"/>
      <c r="B27" s="9" t="str">
        <f aca="false">IFERROR(INDEX(Responses!$J$2:$J$200000,MATCH(1,INDEX((Responses!$A$2:$A$200000=$A27)*(Responses!$F$2:$F$200000="DEM_school_name"),0),0)),"")</f>
        <v/>
      </c>
      <c r="C27" s="9" t="str">
        <f aca="false">IFERROR(INDEX(Responses!$J$2:$J$200000,MATCH(1,INDEX((Responses!$A$2:$A$200000=$A27)*(Responses!$F$2:$F$200000="DEM_class_grade"),0),0)),"")</f>
        <v/>
      </c>
      <c r="D27" s="9" t="n">
        <f aca="false">COUNTIFS(Responses!$A$2:$A$200000,$A27,Responses!$D$2:$D$200000,"B",Responses!$J$2:$J$200000,"&gt;0")</f>
        <v>0</v>
      </c>
      <c r="E27" s="9" t="str">
        <f aca="false">IF(A27="","",71-D27)</f>
        <v/>
      </c>
      <c r="F27" s="10" t="str">
        <f aca="false">IFERROR(ROUND(AVERAGEIFS(Responses!$J$2:$J$200000,Responses!$A$2:$A$200000,$A27,Responses!$G$2:$G$200000,"ER"),2),"")</f>
        <v/>
      </c>
      <c r="G27" s="10" t="str">
        <f aca="false">IFERROR(ROUND(AVERAGEIFS(Responses!$J$2:$J$200000,Responses!$A$2:$A$200000,$A27,Responses!$G$2:$G$200000,"RE"),2),"")</f>
        <v/>
      </c>
      <c r="H27" s="10" t="str">
        <f aca="false">IFERROR(ROUND(AVERAGEIFS(Responses!$J$2:$J$200000,Responses!$A$2:$A$200000,$A27,Responses!$G$2:$G$200000,"EO"),2),"")</f>
        <v/>
      </c>
      <c r="I27" s="10" t="str">
        <f aca="false">IFERROR(ROUND(AVERAGEIFS(Responses!$J$2:$J$200000,Responses!$A$2:$A$200000,$A27,Responses!$G$2:$G$200000,"EM"),2),"")</f>
        <v/>
      </c>
      <c r="J27" s="10" t="str">
        <f aca="false">IFERROR(ROUND(AVERAGEIFS(Responses!$J$2:$J$200000,Responses!$A$2:$A$200000,$A27,Responses!$G$2:$G$200000,"DI"),2),"")</f>
        <v/>
      </c>
      <c r="K27" s="10" t="str">
        <f aca="false">IFERROR(ROUND(AVERAGEIFS(Responses!$J$2:$J$200000,Responses!$A$2:$A$200000,$A27,Responses!$G$2:$G$200000,"TC"),2),"")</f>
        <v/>
      </c>
      <c r="L27" s="10" t="str">
        <f aca="false">IFERROR(ROUND(AVERAGEIFS(Responses!$J$2:$J$200000,Responses!$A$2:$A$200000,$A27,Responses!$G$2:$G$200000,"DP"),2),"")</f>
        <v/>
      </c>
      <c r="M27" s="10" t="str">
        <f aca="false">IFERROR(ROUND(AVERAGEIFS(Responses!$J$2:$J$200000,Responses!$A$2:$A$200000,$A27,Responses!$G$2:$G$200000,"DS"),2),"")</f>
        <v/>
      </c>
      <c r="N27" s="10" t="str">
        <f aca="false">IFERROR(ROUND(AVERAGEIFS(Responses!$J$2:$J$200000,Responses!$A$2:$A$200000,$A27,Responses!$G$2:$G$200000,"PS"),2),"")</f>
        <v/>
      </c>
      <c r="O27" s="10" t="str">
        <f aca="false">IFERROR(ROUND(AVERAGEIFS(Responses!$J$2:$J$200000,Responses!$A$2:$A$200000,$A27,Responses!$G$2:$G$200000,"AS"),2),"")</f>
        <v/>
      </c>
      <c r="P27" s="10" t="str">
        <f aca="false">IFERROR(ROUND(AVERAGEIFS(Responses!$J$2:$J$200000,Responses!$A$2:$A$200000,$A27,Responses!$G$2:$G$200000,"IR"),2),"")</f>
        <v/>
      </c>
      <c r="Q27" s="10" t="str">
        <f aca="false">IFERROR(ROUND(AVERAGEIFS(Responses!$J$2:$J$200000,Responses!$A$2:$A$200000,$A27,Responses!$G$2:$G$200000,"PC"),2),"")</f>
        <v/>
      </c>
    </row>
    <row r="28" customFormat="false" ht="15" hidden="false" customHeight="false" outlineLevel="0" collapsed="false">
      <c r="A28" s="8"/>
      <c r="B28" s="9" t="str">
        <f aca="false">IFERROR(INDEX(Responses!$J$2:$J$200000,MATCH(1,INDEX((Responses!$A$2:$A$200000=$A28)*(Responses!$F$2:$F$200000="DEM_school_name"),0),0)),"")</f>
        <v/>
      </c>
      <c r="C28" s="9" t="str">
        <f aca="false">IFERROR(INDEX(Responses!$J$2:$J$200000,MATCH(1,INDEX((Responses!$A$2:$A$200000=$A28)*(Responses!$F$2:$F$200000="DEM_class_grade"),0),0)),"")</f>
        <v/>
      </c>
      <c r="D28" s="9" t="n">
        <f aca="false">COUNTIFS(Responses!$A$2:$A$200000,$A28,Responses!$D$2:$D$200000,"B",Responses!$J$2:$J$200000,"&gt;0")</f>
        <v>0</v>
      </c>
      <c r="E28" s="9" t="str">
        <f aca="false">IF(A28="","",71-D28)</f>
        <v/>
      </c>
      <c r="F28" s="10" t="str">
        <f aca="false">IFERROR(ROUND(AVERAGEIFS(Responses!$J$2:$J$200000,Responses!$A$2:$A$200000,$A28,Responses!$G$2:$G$200000,"ER"),2),"")</f>
        <v/>
      </c>
      <c r="G28" s="10" t="str">
        <f aca="false">IFERROR(ROUND(AVERAGEIFS(Responses!$J$2:$J$200000,Responses!$A$2:$A$200000,$A28,Responses!$G$2:$G$200000,"RE"),2),"")</f>
        <v/>
      </c>
      <c r="H28" s="10" t="str">
        <f aca="false">IFERROR(ROUND(AVERAGEIFS(Responses!$J$2:$J$200000,Responses!$A$2:$A$200000,$A28,Responses!$G$2:$G$200000,"EO"),2),"")</f>
        <v/>
      </c>
      <c r="I28" s="10" t="str">
        <f aca="false">IFERROR(ROUND(AVERAGEIFS(Responses!$J$2:$J$200000,Responses!$A$2:$A$200000,$A28,Responses!$G$2:$G$200000,"EM"),2),"")</f>
        <v/>
      </c>
      <c r="J28" s="10" t="str">
        <f aca="false">IFERROR(ROUND(AVERAGEIFS(Responses!$J$2:$J$200000,Responses!$A$2:$A$200000,$A28,Responses!$G$2:$G$200000,"DI"),2),"")</f>
        <v/>
      </c>
      <c r="K28" s="10" t="str">
        <f aca="false">IFERROR(ROUND(AVERAGEIFS(Responses!$J$2:$J$200000,Responses!$A$2:$A$200000,$A28,Responses!$G$2:$G$200000,"TC"),2),"")</f>
        <v/>
      </c>
      <c r="L28" s="10" t="str">
        <f aca="false">IFERROR(ROUND(AVERAGEIFS(Responses!$J$2:$J$200000,Responses!$A$2:$A$200000,$A28,Responses!$G$2:$G$200000,"DP"),2),"")</f>
        <v/>
      </c>
      <c r="M28" s="10" t="str">
        <f aca="false">IFERROR(ROUND(AVERAGEIFS(Responses!$J$2:$J$200000,Responses!$A$2:$A$200000,$A28,Responses!$G$2:$G$200000,"DS"),2),"")</f>
        <v/>
      </c>
      <c r="N28" s="10" t="str">
        <f aca="false">IFERROR(ROUND(AVERAGEIFS(Responses!$J$2:$J$200000,Responses!$A$2:$A$200000,$A28,Responses!$G$2:$G$200000,"PS"),2),"")</f>
        <v/>
      </c>
      <c r="O28" s="10" t="str">
        <f aca="false">IFERROR(ROUND(AVERAGEIFS(Responses!$J$2:$J$200000,Responses!$A$2:$A$200000,$A28,Responses!$G$2:$G$200000,"AS"),2),"")</f>
        <v/>
      </c>
      <c r="P28" s="10" t="str">
        <f aca="false">IFERROR(ROUND(AVERAGEIFS(Responses!$J$2:$J$200000,Responses!$A$2:$A$200000,$A28,Responses!$G$2:$G$200000,"IR"),2),"")</f>
        <v/>
      </c>
      <c r="Q28" s="10" t="str">
        <f aca="false">IFERROR(ROUND(AVERAGEIFS(Responses!$J$2:$J$200000,Responses!$A$2:$A$200000,$A28,Responses!$G$2:$G$200000,"PC"),2),"")</f>
        <v/>
      </c>
    </row>
    <row r="29" customFormat="false" ht="15" hidden="false" customHeight="false" outlineLevel="0" collapsed="false">
      <c r="A29" s="8"/>
      <c r="B29" s="9" t="str">
        <f aca="false">IFERROR(INDEX(Responses!$J$2:$J$200000,MATCH(1,INDEX((Responses!$A$2:$A$200000=$A29)*(Responses!$F$2:$F$200000="DEM_school_name"),0),0)),"")</f>
        <v/>
      </c>
      <c r="C29" s="9" t="str">
        <f aca="false">IFERROR(INDEX(Responses!$J$2:$J$200000,MATCH(1,INDEX((Responses!$A$2:$A$200000=$A29)*(Responses!$F$2:$F$200000="DEM_class_grade"),0),0)),"")</f>
        <v/>
      </c>
      <c r="D29" s="9" t="n">
        <f aca="false">COUNTIFS(Responses!$A$2:$A$200000,$A29,Responses!$D$2:$D$200000,"B",Responses!$J$2:$J$200000,"&gt;0")</f>
        <v>0</v>
      </c>
      <c r="E29" s="9" t="str">
        <f aca="false">IF(A29="","",71-D29)</f>
        <v/>
      </c>
      <c r="F29" s="10" t="str">
        <f aca="false">IFERROR(ROUND(AVERAGEIFS(Responses!$J$2:$J$200000,Responses!$A$2:$A$200000,$A29,Responses!$G$2:$G$200000,"ER"),2),"")</f>
        <v/>
      </c>
      <c r="G29" s="10" t="str">
        <f aca="false">IFERROR(ROUND(AVERAGEIFS(Responses!$J$2:$J$200000,Responses!$A$2:$A$200000,$A29,Responses!$G$2:$G$200000,"RE"),2),"")</f>
        <v/>
      </c>
      <c r="H29" s="10" t="str">
        <f aca="false">IFERROR(ROUND(AVERAGEIFS(Responses!$J$2:$J$200000,Responses!$A$2:$A$200000,$A29,Responses!$G$2:$G$200000,"EO"),2),"")</f>
        <v/>
      </c>
      <c r="I29" s="10" t="str">
        <f aca="false">IFERROR(ROUND(AVERAGEIFS(Responses!$J$2:$J$200000,Responses!$A$2:$A$200000,$A29,Responses!$G$2:$G$200000,"EM"),2),"")</f>
        <v/>
      </c>
      <c r="J29" s="10" t="str">
        <f aca="false">IFERROR(ROUND(AVERAGEIFS(Responses!$J$2:$J$200000,Responses!$A$2:$A$200000,$A29,Responses!$G$2:$G$200000,"DI"),2),"")</f>
        <v/>
      </c>
      <c r="K29" s="10" t="str">
        <f aca="false">IFERROR(ROUND(AVERAGEIFS(Responses!$J$2:$J$200000,Responses!$A$2:$A$200000,$A29,Responses!$G$2:$G$200000,"TC"),2),"")</f>
        <v/>
      </c>
      <c r="L29" s="10" t="str">
        <f aca="false">IFERROR(ROUND(AVERAGEIFS(Responses!$J$2:$J$200000,Responses!$A$2:$A$200000,$A29,Responses!$G$2:$G$200000,"DP"),2),"")</f>
        <v/>
      </c>
      <c r="M29" s="10" t="str">
        <f aca="false">IFERROR(ROUND(AVERAGEIFS(Responses!$J$2:$J$200000,Responses!$A$2:$A$200000,$A29,Responses!$G$2:$G$200000,"DS"),2),"")</f>
        <v/>
      </c>
      <c r="N29" s="10" t="str">
        <f aca="false">IFERROR(ROUND(AVERAGEIFS(Responses!$J$2:$J$200000,Responses!$A$2:$A$200000,$A29,Responses!$G$2:$G$200000,"PS"),2),"")</f>
        <v/>
      </c>
      <c r="O29" s="10" t="str">
        <f aca="false">IFERROR(ROUND(AVERAGEIFS(Responses!$J$2:$J$200000,Responses!$A$2:$A$200000,$A29,Responses!$G$2:$G$200000,"AS"),2),"")</f>
        <v/>
      </c>
      <c r="P29" s="10" t="str">
        <f aca="false">IFERROR(ROUND(AVERAGEIFS(Responses!$J$2:$J$200000,Responses!$A$2:$A$200000,$A29,Responses!$G$2:$G$200000,"IR"),2),"")</f>
        <v/>
      </c>
      <c r="Q29" s="10" t="str">
        <f aca="false">IFERROR(ROUND(AVERAGEIFS(Responses!$J$2:$J$200000,Responses!$A$2:$A$200000,$A29,Responses!$G$2:$G$200000,"PC"),2),"")</f>
        <v/>
      </c>
    </row>
    <row r="30" customFormat="false" ht="15" hidden="false" customHeight="false" outlineLevel="0" collapsed="false">
      <c r="A30" s="8"/>
      <c r="B30" s="9" t="str">
        <f aca="false">IFERROR(INDEX(Responses!$J$2:$J$200000,MATCH(1,INDEX((Responses!$A$2:$A$200000=$A30)*(Responses!$F$2:$F$200000="DEM_school_name"),0),0)),"")</f>
        <v/>
      </c>
      <c r="C30" s="9" t="str">
        <f aca="false">IFERROR(INDEX(Responses!$J$2:$J$200000,MATCH(1,INDEX((Responses!$A$2:$A$200000=$A30)*(Responses!$F$2:$F$200000="DEM_class_grade"),0),0)),"")</f>
        <v/>
      </c>
      <c r="D30" s="9" t="n">
        <f aca="false">COUNTIFS(Responses!$A$2:$A$200000,$A30,Responses!$D$2:$D$200000,"B",Responses!$J$2:$J$200000,"&gt;0")</f>
        <v>0</v>
      </c>
      <c r="E30" s="9" t="str">
        <f aca="false">IF(A30="","",71-D30)</f>
        <v/>
      </c>
      <c r="F30" s="10" t="str">
        <f aca="false">IFERROR(ROUND(AVERAGEIFS(Responses!$J$2:$J$200000,Responses!$A$2:$A$200000,$A30,Responses!$G$2:$G$200000,"ER"),2),"")</f>
        <v/>
      </c>
      <c r="G30" s="10" t="str">
        <f aca="false">IFERROR(ROUND(AVERAGEIFS(Responses!$J$2:$J$200000,Responses!$A$2:$A$200000,$A30,Responses!$G$2:$G$200000,"RE"),2),"")</f>
        <v/>
      </c>
      <c r="H30" s="10" t="str">
        <f aca="false">IFERROR(ROUND(AVERAGEIFS(Responses!$J$2:$J$200000,Responses!$A$2:$A$200000,$A30,Responses!$G$2:$G$200000,"EO"),2),"")</f>
        <v/>
      </c>
      <c r="I30" s="10" t="str">
        <f aca="false">IFERROR(ROUND(AVERAGEIFS(Responses!$J$2:$J$200000,Responses!$A$2:$A$200000,$A30,Responses!$G$2:$G$200000,"EM"),2),"")</f>
        <v/>
      </c>
      <c r="J30" s="10" t="str">
        <f aca="false">IFERROR(ROUND(AVERAGEIFS(Responses!$J$2:$J$200000,Responses!$A$2:$A$200000,$A30,Responses!$G$2:$G$200000,"DI"),2),"")</f>
        <v/>
      </c>
      <c r="K30" s="10" t="str">
        <f aca="false">IFERROR(ROUND(AVERAGEIFS(Responses!$J$2:$J$200000,Responses!$A$2:$A$200000,$A30,Responses!$G$2:$G$200000,"TC"),2),"")</f>
        <v/>
      </c>
      <c r="L30" s="10" t="str">
        <f aca="false">IFERROR(ROUND(AVERAGEIFS(Responses!$J$2:$J$200000,Responses!$A$2:$A$200000,$A30,Responses!$G$2:$G$200000,"DP"),2),"")</f>
        <v/>
      </c>
      <c r="M30" s="10" t="str">
        <f aca="false">IFERROR(ROUND(AVERAGEIFS(Responses!$J$2:$J$200000,Responses!$A$2:$A$200000,$A30,Responses!$G$2:$G$200000,"DS"),2),"")</f>
        <v/>
      </c>
      <c r="N30" s="10" t="str">
        <f aca="false">IFERROR(ROUND(AVERAGEIFS(Responses!$J$2:$J$200000,Responses!$A$2:$A$200000,$A30,Responses!$G$2:$G$200000,"PS"),2),"")</f>
        <v/>
      </c>
      <c r="O30" s="10" t="str">
        <f aca="false">IFERROR(ROUND(AVERAGEIFS(Responses!$J$2:$J$200000,Responses!$A$2:$A$200000,$A30,Responses!$G$2:$G$200000,"AS"),2),"")</f>
        <v/>
      </c>
      <c r="P30" s="10" t="str">
        <f aca="false">IFERROR(ROUND(AVERAGEIFS(Responses!$J$2:$J$200000,Responses!$A$2:$A$200000,$A30,Responses!$G$2:$G$200000,"IR"),2),"")</f>
        <v/>
      </c>
      <c r="Q30" s="10" t="str">
        <f aca="false">IFERROR(ROUND(AVERAGEIFS(Responses!$J$2:$J$200000,Responses!$A$2:$A$200000,$A30,Responses!$G$2:$G$200000,"PC"),2),"")</f>
        <v/>
      </c>
    </row>
    <row r="31" customFormat="false" ht="15" hidden="false" customHeight="false" outlineLevel="0" collapsed="false">
      <c r="A31" s="8"/>
      <c r="B31" s="9" t="str">
        <f aca="false">IFERROR(INDEX(Responses!$J$2:$J$200000,MATCH(1,INDEX((Responses!$A$2:$A$200000=$A31)*(Responses!$F$2:$F$200000="DEM_school_name"),0),0)),"")</f>
        <v/>
      </c>
      <c r="C31" s="9" t="str">
        <f aca="false">IFERROR(INDEX(Responses!$J$2:$J$200000,MATCH(1,INDEX((Responses!$A$2:$A$200000=$A31)*(Responses!$F$2:$F$200000="DEM_class_grade"),0),0)),"")</f>
        <v/>
      </c>
      <c r="D31" s="9" t="n">
        <f aca="false">COUNTIFS(Responses!$A$2:$A$200000,$A31,Responses!$D$2:$D$200000,"B",Responses!$J$2:$J$200000,"&gt;0")</f>
        <v>0</v>
      </c>
      <c r="E31" s="9" t="str">
        <f aca="false">IF(A31="","",71-D31)</f>
        <v/>
      </c>
      <c r="F31" s="10" t="str">
        <f aca="false">IFERROR(ROUND(AVERAGEIFS(Responses!$J$2:$J$200000,Responses!$A$2:$A$200000,$A31,Responses!$G$2:$G$200000,"ER"),2),"")</f>
        <v/>
      </c>
      <c r="G31" s="10" t="str">
        <f aca="false">IFERROR(ROUND(AVERAGEIFS(Responses!$J$2:$J$200000,Responses!$A$2:$A$200000,$A31,Responses!$G$2:$G$200000,"RE"),2),"")</f>
        <v/>
      </c>
      <c r="H31" s="10" t="str">
        <f aca="false">IFERROR(ROUND(AVERAGEIFS(Responses!$J$2:$J$200000,Responses!$A$2:$A$200000,$A31,Responses!$G$2:$G$200000,"EO"),2),"")</f>
        <v/>
      </c>
      <c r="I31" s="10" t="str">
        <f aca="false">IFERROR(ROUND(AVERAGEIFS(Responses!$J$2:$J$200000,Responses!$A$2:$A$200000,$A31,Responses!$G$2:$G$200000,"EM"),2),"")</f>
        <v/>
      </c>
      <c r="J31" s="10" t="str">
        <f aca="false">IFERROR(ROUND(AVERAGEIFS(Responses!$J$2:$J$200000,Responses!$A$2:$A$200000,$A31,Responses!$G$2:$G$200000,"DI"),2),"")</f>
        <v/>
      </c>
      <c r="K31" s="10" t="str">
        <f aca="false">IFERROR(ROUND(AVERAGEIFS(Responses!$J$2:$J$200000,Responses!$A$2:$A$200000,$A31,Responses!$G$2:$G$200000,"TC"),2),"")</f>
        <v/>
      </c>
      <c r="L31" s="10" t="str">
        <f aca="false">IFERROR(ROUND(AVERAGEIFS(Responses!$J$2:$J$200000,Responses!$A$2:$A$200000,$A31,Responses!$G$2:$G$200000,"DP"),2),"")</f>
        <v/>
      </c>
      <c r="M31" s="10" t="str">
        <f aca="false">IFERROR(ROUND(AVERAGEIFS(Responses!$J$2:$J$200000,Responses!$A$2:$A$200000,$A31,Responses!$G$2:$G$200000,"DS"),2),"")</f>
        <v/>
      </c>
      <c r="N31" s="10" t="str">
        <f aca="false">IFERROR(ROUND(AVERAGEIFS(Responses!$J$2:$J$200000,Responses!$A$2:$A$200000,$A31,Responses!$G$2:$G$200000,"PS"),2),"")</f>
        <v/>
      </c>
      <c r="O31" s="10" t="str">
        <f aca="false">IFERROR(ROUND(AVERAGEIFS(Responses!$J$2:$J$200000,Responses!$A$2:$A$200000,$A31,Responses!$G$2:$G$200000,"AS"),2),"")</f>
        <v/>
      </c>
      <c r="P31" s="10" t="str">
        <f aca="false">IFERROR(ROUND(AVERAGEIFS(Responses!$J$2:$J$200000,Responses!$A$2:$A$200000,$A31,Responses!$G$2:$G$200000,"IR"),2),"")</f>
        <v/>
      </c>
      <c r="Q31" s="10" t="str">
        <f aca="false">IFERROR(ROUND(AVERAGEIFS(Responses!$J$2:$J$200000,Responses!$A$2:$A$200000,$A31,Responses!$G$2:$G$200000,"PC"),2),"")</f>
        <v/>
      </c>
    </row>
    <row r="32" customFormat="false" ht="15" hidden="false" customHeight="false" outlineLevel="0" collapsed="false">
      <c r="A32" s="8"/>
      <c r="B32" s="9" t="str">
        <f aca="false">IFERROR(INDEX(Responses!$J$2:$J$200000,MATCH(1,INDEX((Responses!$A$2:$A$200000=$A32)*(Responses!$F$2:$F$200000="DEM_school_name"),0),0)),"")</f>
        <v/>
      </c>
      <c r="C32" s="9" t="str">
        <f aca="false">IFERROR(INDEX(Responses!$J$2:$J$200000,MATCH(1,INDEX((Responses!$A$2:$A$200000=$A32)*(Responses!$F$2:$F$200000="DEM_class_grade"),0),0)),"")</f>
        <v/>
      </c>
      <c r="D32" s="9" t="n">
        <f aca="false">COUNTIFS(Responses!$A$2:$A$200000,$A32,Responses!$D$2:$D$200000,"B",Responses!$J$2:$J$200000,"&gt;0")</f>
        <v>0</v>
      </c>
      <c r="E32" s="9" t="str">
        <f aca="false">IF(A32="","",71-D32)</f>
        <v/>
      </c>
      <c r="F32" s="10" t="str">
        <f aca="false">IFERROR(ROUND(AVERAGEIFS(Responses!$J$2:$J$200000,Responses!$A$2:$A$200000,$A32,Responses!$G$2:$G$200000,"ER"),2),"")</f>
        <v/>
      </c>
      <c r="G32" s="10" t="str">
        <f aca="false">IFERROR(ROUND(AVERAGEIFS(Responses!$J$2:$J$200000,Responses!$A$2:$A$200000,$A32,Responses!$G$2:$G$200000,"RE"),2),"")</f>
        <v/>
      </c>
      <c r="H32" s="10" t="str">
        <f aca="false">IFERROR(ROUND(AVERAGEIFS(Responses!$J$2:$J$200000,Responses!$A$2:$A$200000,$A32,Responses!$G$2:$G$200000,"EO"),2),"")</f>
        <v/>
      </c>
      <c r="I32" s="10" t="str">
        <f aca="false">IFERROR(ROUND(AVERAGEIFS(Responses!$J$2:$J$200000,Responses!$A$2:$A$200000,$A32,Responses!$G$2:$G$200000,"EM"),2),"")</f>
        <v/>
      </c>
      <c r="J32" s="10" t="str">
        <f aca="false">IFERROR(ROUND(AVERAGEIFS(Responses!$J$2:$J$200000,Responses!$A$2:$A$200000,$A32,Responses!$G$2:$G$200000,"DI"),2),"")</f>
        <v/>
      </c>
      <c r="K32" s="10" t="str">
        <f aca="false">IFERROR(ROUND(AVERAGEIFS(Responses!$J$2:$J$200000,Responses!$A$2:$A$200000,$A32,Responses!$G$2:$G$200000,"TC"),2),"")</f>
        <v/>
      </c>
      <c r="L32" s="10" t="str">
        <f aca="false">IFERROR(ROUND(AVERAGEIFS(Responses!$J$2:$J$200000,Responses!$A$2:$A$200000,$A32,Responses!$G$2:$G$200000,"DP"),2),"")</f>
        <v/>
      </c>
      <c r="M32" s="10" t="str">
        <f aca="false">IFERROR(ROUND(AVERAGEIFS(Responses!$J$2:$J$200000,Responses!$A$2:$A$200000,$A32,Responses!$G$2:$G$200000,"DS"),2),"")</f>
        <v/>
      </c>
      <c r="N32" s="10" t="str">
        <f aca="false">IFERROR(ROUND(AVERAGEIFS(Responses!$J$2:$J$200000,Responses!$A$2:$A$200000,$A32,Responses!$G$2:$G$200000,"PS"),2),"")</f>
        <v/>
      </c>
      <c r="O32" s="10" t="str">
        <f aca="false">IFERROR(ROUND(AVERAGEIFS(Responses!$J$2:$J$200000,Responses!$A$2:$A$200000,$A32,Responses!$G$2:$G$200000,"AS"),2),"")</f>
        <v/>
      </c>
      <c r="P32" s="10" t="str">
        <f aca="false">IFERROR(ROUND(AVERAGEIFS(Responses!$J$2:$J$200000,Responses!$A$2:$A$200000,$A32,Responses!$G$2:$G$200000,"IR"),2),"")</f>
        <v/>
      </c>
      <c r="Q32" s="10" t="str">
        <f aca="false">IFERROR(ROUND(AVERAGEIFS(Responses!$J$2:$J$200000,Responses!$A$2:$A$200000,$A32,Responses!$G$2:$G$200000,"PC"),2),"")</f>
        <v/>
      </c>
    </row>
    <row r="33" customFormat="false" ht="15" hidden="false" customHeight="false" outlineLevel="0" collapsed="false">
      <c r="A33" s="8"/>
      <c r="B33" s="9" t="str">
        <f aca="false">IFERROR(INDEX(Responses!$J$2:$J$200000,MATCH(1,INDEX((Responses!$A$2:$A$200000=$A33)*(Responses!$F$2:$F$200000="DEM_school_name"),0),0)),"")</f>
        <v/>
      </c>
      <c r="C33" s="9" t="str">
        <f aca="false">IFERROR(INDEX(Responses!$J$2:$J$200000,MATCH(1,INDEX((Responses!$A$2:$A$200000=$A33)*(Responses!$F$2:$F$200000="DEM_class_grade"),0),0)),"")</f>
        <v/>
      </c>
      <c r="D33" s="9" t="n">
        <f aca="false">COUNTIFS(Responses!$A$2:$A$200000,$A33,Responses!$D$2:$D$200000,"B",Responses!$J$2:$J$200000,"&gt;0")</f>
        <v>0</v>
      </c>
      <c r="E33" s="9" t="str">
        <f aca="false">IF(A33="","",71-D33)</f>
        <v/>
      </c>
      <c r="F33" s="10" t="str">
        <f aca="false">IFERROR(ROUND(AVERAGEIFS(Responses!$J$2:$J$200000,Responses!$A$2:$A$200000,$A33,Responses!$G$2:$G$200000,"ER"),2),"")</f>
        <v/>
      </c>
      <c r="G33" s="10" t="str">
        <f aca="false">IFERROR(ROUND(AVERAGEIFS(Responses!$J$2:$J$200000,Responses!$A$2:$A$200000,$A33,Responses!$G$2:$G$200000,"RE"),2),"")</f>
        <v/>
      </c>
      <c r="H33" s="10" t="str">
        <f aca="false">IFERROR(ROUND(AVERAGEIFS(Responses!$J$2:$J$200000,Responses!$A$2:$A$200000,$A33,Responses!$G$2:$G$200000,"EO"),2),"")</f>
        <v/>
      </c>
      <c r="I33" s="10" t="str">
        <f aca="false">IFERROR(ROUND(AVERAGEIFS(Responses!$J$2:$J$200000,Responses!$A$2:$A$200000,$A33,Responses!$G$2:$G$200000,"EM"),2),"")</f>
        <v/>
      </c>
      <c r="J33" s="10" t="str">
        <f aca="false">IFERROR(ROUND(AVERAGEIFS(Responses!$J$2:$J$200000,Responses!$A$2:$A$200000,$A33,Responses!$G$2:$G$200000,"DI"),2),"")</f>
        <v/>
      </c>
      <c r="K33" s="10" t="str">
        <f aca="false">IFERROR(ROUND(AVERAGEIFS(Responses!$J$2:$J$200000,Responses!$A$2:$A$200000,$A33,Responses!$G$2:$G$200000,"TC"),2),"")</f>
        <v/>
      </c>
      <c r="L33" s="10" t="str">
        <f aca="false">IFERROR(ROUND(AVERAGEIFS(Responses!$J$2:$J$200000,Responses!$A$2:$A$200000,$A33,Responses!$G$2:$G$200000,"DP"),2),"")</f>
        <v/>
      </c>
      <c r="M33" s="10" t="str">
        <f aca="false">IFERROR(ROUND(AVERAGEIFS(Responses!$J$2:$J$200000,Responses!$A$2:$A$200000,$A33,Responses!$G$2:$G$200000,"DS"),2),"")</f>
        <v/>
      </c>
      <c r="N33" s="10" t="str">
        <f aca="false">IFERROR(ROUND(AVERAGEIFS(Responses!$J$2:$J$200000,Responses!$A$2:$A$200000,$A33,Responses!$G$2:$G$200000,"PS"),2),"")</f>
        <v/>
      </c>
      <c r="O33" s="10" t="str">
        <f aca="false">IFERROR(ROUND(AVERAGEIFS(Responses!$J$2:$J$200000,Responses!$A$2:$A$200000,$A33,Responses!$G$2:$G$200000,"AS"),2),"")</f>
        <v/>
      </c>
      <c r="P33" s="10" t="str">
        <f aca="false">IFERROR(ROUND(AVERAGEIFS(Responses!$J$2:$J$200000,Responses!$A$2:$A$200000,$A33,Responses!$G$2:$G$200000,"IR"),2),"")</f>
        <v/>
      </c>
      <c r="Q33" s="10" t="str">
        <f aca="false">IFERROR(ROUND(AVERAGEIFS(Responses!$J$2:$J$200000,Responses!$A$2:$A$200000,$A33,Responses!$G$2:$G$200000,"PC"),2),"")</f>
        <v/>
      </c>
    </row>
    <row r="34" customFormat="false" ht="15" hidden="false" customHeight="false" outlineLevel="0" collapsed="false">
      <c r="A34" s="8"/>
      <c r="B34" s="9" t="str">
        <f aca="false">IFERROR(INDEX(Responses!$J$2:$J$200000,MATCH(1,INDEX((Responses!$A$2:$A$200000=$A34)*(Responses!$F$2:$F$200000="DEM_school_name"),0),0)),"")</f>
        <v/>
      </c>
      <c r="C34" s="9" t="str">
        <f aca="false">IFERROR(INDEX(Responses!$J$2:$J$200000,MATCH(1,INDEX((Responses!$A$2:$A$200000=$A34)*(Responses!$F$2:$F$200000="DEM_class_grade"),0),0)),"")</f>
        <v/>
      </c>
      <c r="D34" s="9" t="n">
        <f aca="false">COUNTIFS(Responses!$A$2:$A$200000,$A34,Responses!$D$2:$D$200000,"B",Responses!$J$2:$J$200000,"&gt;0")</f>
        <v>0</v>
      </c>
      <c r="E34" s="9" t="str">
        <f aca="false">IF(A34="","",71-D34)</f>
        <v/>
      </c>
      <c r="F34" s="10" t="str">
        <f aca="false">IFERROR(ROUND(AVERAGEIFS(Responses!$J$2:$J$200000,Responses!$A$2:$A$200000,$A34,Responses!$G$2:$G$200000,"ER"),2),"")</f>
        <v/>
      </c>
      <c r="G34" s="10" t="str">
        <f aca="false">IFERROR(ROUND(AVERAGEIFS(Responses!$J$2:$J$200000,Responses!$A$2:$A$200000,$A34,Responses!$G$2:$G$200000,"RE"),2),"")</f>
        <v/>
      </c>
      <c r="H34" s="10" t="str">
        <f aca="false">IFERROR(ROUND(AVERAGEIFS(Responses!$J$2:$J$200000,Responses!$A$2:$A$200000,$A34,Responses!$G$2:$G$200000,"EO"),2),"")</f>
        <v/>
      </c>
      <c r="I34" s="10" t="str">
        <f aca="false">IFERROR(ROUND(AVERAGEIFS(Responses!$J$2:$J$200000,Responses!$A$2:$A$200000,$A34,Responses!$G$2:$G$200000,"EM"),2),"")</f>
        <v/>
      </c>
      <c r="J34" s="10" t="str">
        <f aca="false">IFERROR(ROUND(AVERAGEIFS(Responses!$J$2:$J$200000,Responses!$A$2:$A$200000,$A34,Responses!$G$2:$G$200000,"DI"),2),"")</f>
        <v/>
      </c>
      <c r="K34" s="10" t="str">
        <f aca="false">IFERROR(ROUND(AVERAGEIFS(Responses!$J$2:$J$200000,Responses!$A$2:$A$200000,$A34,Responses!$G$2:$G$200000,"TC"),2),"")</f>
        <v/>
      </c>
      <c r="L34" s="10" t="str">
        <f aca="false">IFERROR(ROUND(AVERAGEIFS(Responses!$J$2:$J$200000,Responses!$A$2:$A$200000,$A34,Responses!$G$2:$G$200000,"DP"),2),"")</f>
        <v/>
      </c>
      <c r="M34" s="10" t="str">
        <f aca="false">IFERROR(ROUND(AVERAGEIFS(Responses!$J$2:$J$200000,Responses!$A$2:$A$200000,$A34,Responses!$G$2:$G$200000,"DS"),2),"")</f>
        <v/>
      </c>
      <c r="N34" s="10" t="str">
        <f aca="false">IFERROR(ROUND(AVERAGEIFS(Responses!$J$2:$J$200000,Responses!$A$2:$A$200000,$A34,Responses!$G$2:$G$200000,"PS"),2),"")</f>
        <v/>
      </c>
      <c r="O34" s="10" t="str">
        <f aca="false">IFERROR(ROUND(AVERAGEIFS(Responses!$J$2:$J$200000,Responses!$A$2:$A$200000,$A34,Responses!$G$2:$G$200000,"AS"),2),"")</f>
        <v/>
      </c>
      <c r="P34" s="10" t="str">
        <f aca="false">IFERROR(ROUND(AVERAGEIFS(Responses!$J$2:$J$200000,Responses!$A$2:$A$200000,$A34,Responses!$G$2:$G$200000,"IR"),2),"")</f>
        <v/>
      </c>
      <c r="Q34" s="10" t="str">
        <f aca="false">IFERROR(ROUND(AVERAGEIFS(Responses!$J$2:$J$200000,Responses!$A$2:$A$200000,$A34,Responses!$G$2:$G$200000,"PC"),2),"")</f>
        <v/>
      </c>
    </row>
    <row r="35" customFormat="false" ht="15" hidden="false" customHeight="false" outlineLevel="0" collapsed="false">
      <c r="A35" s="8"/>
      <c r="B35" s="9" t="str">
        <f aca="false">IFERROR(INDEX(Responses!$J$2:$J$200000,MATCH(1,INDEX((Responses!$A$2:$A$200000=$A35)*(Responses!$F$2:$F$200000="DEM_school_name"),0),0)),"")</f>
        <v/>
      </c>
      <c r="C35" s="9" t="str">
        <f aca="false">IFERROR(INDEX(Responses!$J$2:$J$200000,MATCH(1,INDEX((Responses!$A$2:$A$200000=$A35)*(Responses!$F$2:$F$200000="DEM_class_grade"),0),0)),"")</f>
        <v/>
      </c>
      <c r="D35" s="9" t="n">
        <f aca="false">COUNTIFS(Responses!$A$2:$A$200000,$A35,Responses!$D$2:$D$200000,"B",Responses!$J$2:$J$200000,"&gt;0")</f>
        <v>0</v>
      </c>
      <c r="E35" s="9" t="str">
        <f aca="false">IF(A35="","",71-D35)</f>
        <v/>
      </c>
      <c r="F35" s="10" t="str">
        <f aca="false">IFERROR(ROUND(AVERAGEIFS(Responses!$J$2:$J$200000,Responses!$A$2:$A$200000,$A35,Responses!$G$2:$G$200000,"ER"),2),"")</f>
        <v/>
      </c>
      <c r="G35" s="10" t="str">
        <f aca="false">IFERROR(ROUND(AVERAGEIFS(Responses!$J$2:$J$200000,Responses!$A$2:$A$200000,$A35,Responses!$G$2:$G$200000,"RE"),2),"")</f>
        <v/>
      </c>
      <c r="H35" s="10" t="str">
        <f aca="false">IFERROR(ROUND(AVERAGEIFS(Responses!$J$2:$J$200000,Responses!$A$2:$A$200000,$A35,Responses!$G$2:$G$200000,"EO"),2),"")</f>
        <v/>
      </c>
      <c r="I35" s="10" t="str">
        <f aca="false">IFERROR(ROUND(AVERAGEIFS(Responses!$J$2:$J$200000,Responses!$A$2:$A$200000,$A35,Responses!$G$2:$G$200000,"EM"),2),"")</f>
        <v/>
      </c>
      <c r="J35" s="10" t="str">
        <f aca="false">IFERROR(ROUND(AVERAGEIFS(Responses!$J$2:$J$200000,Responses!$A$2:$A$200000,$A35,Responses!$G$2:$G$200000,"DI"),2),"")</f>
        <v/>
      </c>
      <c r="K35" s="10" t="str">
        <f aca="false">IFERROR(ROUND(AVERAGEIFS(Responses!$J$2:$J$200000,Responses!$A$2:$A$200000,$A35,Responses!$G$2:$G$200000,"TC"),2),"")</f>
        <v/>
      </c>
      <c r="L35" s="10" t="str">
        <f aca="false">IFERROR(ROUND(AVERAGEIFS(Responses!$J$2:$J$200000,Responses!$A$2:$A$200000,$A35,Responses!$G$2:$G$200000,"DP"),2),"")</f>
        <v/>
      </c>
      <c r="M35" s="10" t="str">
        <f aca="false">IFERROR(ROUND(AVERAGEIFS(Responses!$J$2:$J$200000,Responses!$A$2:$A$200000,$A35,Responses!$G$2:$G$200000,"DS"),2),"")</f>
        <v/>
      </c>
      <c r="N35" s="10" t="str">
        <f aca="false">IFERROR(ROUND(AVERAGEIFS(Responses!$J$2:$J$200000,Responses!$A$2:$A$200000,$A35,Responses!$G$2:$G$200000,"PS"),2),"")</f>
        <v/>
      </c>
      <c r="O35" s="10" t="str">
        <f aca="false">IFERROR(ROUND(AVERAGEIFS(Responses!$J$2:$J$200000,Responses!$A$2:$A$200000,$A35,Responses!$G$2:$G$200000,"AS"),2),"")</f>
        <v/>
      </c>
      <c r="P35" s="10" t="str">
        <f aca="false">IFERROR(ROUND(AVERAGEIFS(Responses!$J$2:$J$200000,Responses!$A$2:$A$200000,$A35,Responses!$G$2:$G$200000,"IR"),2),"")</f>
        <v/>
      </c>
      <c r="Q35" s="10" t="str">
        <f aca="false">IFERROR(ROUND(AVERAGEIFS(Responses!$J$2:$J$200000,Responses!$A$2:$A$200000,$A35,Responses!$G$2:$G$200000,"PC"),2),"")</f>
        <v/>
      </c>
    </row>
    <row r="36" customFormat="false" ht="15" hidden="false" customHeight="false" outlineLevel="0" collapsed="false">
      <c r="A36" s="8"/>
      <c r="B36" s="9" t="str">
        <f aca="false">IFERROR(INDEX(Responses!$J$2:$J$200000,MATCH(1,INDEX((Responses!$A$2:$A$200000=$A36)*(Responses!$F$2:$F$200000="DEM_school_name"),0),0)),"")</f>
        <v/>
      </c>
      <c r="C36" s="9" t="str">
        <f aca="false">IFERROR(INDEX(Responses!$J$2:$J$200000,MATCH(1,INDEX((Responses!$A$2:$A$200000=$A36)*(Responses!$F$2:$F$200000="DEM_class_grade"),0),0)),"")</f>
        <v/>
      </c>
      <c r="D36" s="9" t="n">
        <f aca="false">COUNTIFS(Responses!$A$2:$A$200000,$A36,Responses!$D$2:$D$200000,"B",Responses!$J$2:$J$200000,"&gt;0")</f>
        <v>0</v>
      </c>
      <c r="E36" s="9" t="str">
        <f aca="false">IF(A36="","",71-D36)</f>
        <v/>
      </c>
      <c r="F36" s="10" t="str">
        <f aca="false">IFERROR(ROUND(AVERAGEIFS(Responses!$J$2:$J$200000,Responses!$A$2:$A$200000,$A36,Responses!$G$2:$G$200000,"ER"),2),"")</f>
        <v/>
      </c>
      <c r="G36" s="10" t="str">
        <f aca="false">IFERROR(ROUND(AVERAGEIFS(Responses!$J$2:$J$200000,Responses!$A$2:$A$200000,$A36,Responses!$G$2:$G$200000,"RE"),2),"")</f>
        <v/>
      </c>
      <c r="H36" s="10" t="str">
        <f aca="false">IFERROR(ROUND(AVERAGEIFS(Responses!$J$2:$J$200000,Responses!$A$2:$A$200000,$A36,Responses!$G$2:$G$200000,"EO"),2),"")</f>
        <v/>
      </c>
      <c r="I36" s="10" t="str">
        <f aca="false">IFERROR(ROUND(AVERAGEIFS(Responses!$J$2:$J$200000,Responses!$A$2:$A$200000,$A36,Responses!$G$2:$G$200000,"EM"),2),"")</f>
        <v/>
      </c>
      <c r="J36" s="10" t="str">
        <f aca="false">IFERROR(ROUND(AVERAGEIFS(Responses!$J$2:$J$200000,Responses!$A$2:$A$200000,$A36,Responses!$G$2:$G$200000,"DI"),2),"")</f>
        <v/>
      </c>
      <c r="K36" s="10" t="str">
        <f aca="false">IFERROR(ROUND(AVERAGEIFS(Responses!$J$2:$J$200000,Responses!$A$2:$A$200000,$A36,Responses!$G$2:$G$200000,"TC"),2),"")</f>
        <v/>
      </c>
      <c r="L36" s="10" t="str">
        <f aca="false">IFERROR(ROUND(AVERAGEIFS(Responses!$J$2:$J$200000,Responses!$A$2:$A$200000,$A36,Responses!$G$2:$G$200000,"DP"),2),"")</f>
        <v/>
      </c>
      <c r="M36" s="10" t="str">
        <f aca="false">IFERROR(ROUND(AVERAGEIFS(Responses!$J$2:$J$200000,Responses!$A$2:$A$200000,$A36,Responses!$G$2:$G$200000,"DS"),2),"")</f>
        <v/>
      </c>
      <c r="N36" s="10" t="str">
        <f aca="false">IFERROR(ROUND(AVERAGEIFS(Responses!$J$2:$J$200000,Responses!$A$2:$A$200000,$A36,Responses!$G$2:$G$200000,"PS"),2),"")</f>
        <v/>
      </c>
      <c r="O36" s="10" t="str">
        <f aca="false">IFERROR(ROUND(AVERAGEIFS(Responses!$J$2:$J$200000,Responses!$A$2:$A$200000,$A36,Responses!$G$2:$G$200000,"AS"),2),"")</f>
        <v/>
      </c>
      <c r="P36" s="10" t="str">
        <f aca="false">IFERROR(ROUND(AVERAGEIFS(Responses!$J$2:$J$200000,Responses!$A$2:$A$200000,$A36,Responses!$G$2:$G$200000,"IR"),2),"")</f>
        <v/>
      </c>
      <c r="Q36" s="10" t="str">
        <f aca="false">IFERROR(ROUND(AVERAGEIFS(Responses!$J$2:$J$200000,Responses!$A$2:$A$200000,$A36,Responses!$G$2:$G$200000,"PC"),2),"")</f>
        <v/>
      </c>
    </row>
    <row r="37" customFormat="false" ht="15" hidden="false" customHeight="false" outlineLevel="0" collapsed="false">
      <c r="A37" s="8"/>
      <c r="B37" s="9" t="str">
        <f aca="false">IFERROR(INDEX(Responses!$J$2:$J$200000,MATCH(1,INDEX((Responses!$A$2:$A$200000=$A37)*(Responses!$F$2:$F$200000="DEM_school_name"),0),0)),"")</f>
        <v/>
      </c>
      <c r="C37" s="9" t="str">
        <f aca="false">IFERROR(INDEX(Responses!$J$2:$J$200000,MATCH(1,INDEX((Responses!$A$2:$A$200000=$A37)*(Responses!$F$2:$F$200000="DEM_class_grade"),0),0)),"")</f>
        <v/>
      </c>
      <c r="D37" s="9" t="n">
        <f aca="false">COUNTIFS(Responses!$A$2:$A$200000,$A37,Responses!$D$2:$D$200000,"B",Responses!$J$2:$J$200000,"&gt;0")</f>
        <v>0</v>
      </c>
      <c r="E37" s="9" t="str">
        <f aca="false">IF(A37="","",71-D37)</f>
        <v/>
      </c>
      <c r="F37" s="10" t="str">
        <f aca="false">IFERROR(ROUND(AVERAGEIFS(Responses!$J$2:$J$200000,Responses!$A$2:$A$200000,$A37,Responses!$G$2:$G$200000,"ER"),2),"")</f>
        <v/>
      </c>
      <c r="G37" s="10" t="str">
        <f aca="false">IFERROR(ROUND(AVERAGEIFS(Responses!$J$2:$J$200000,Responses!$A$2:$A$200000,$A37,Responses!$G$2:$G$200000,"RE"),2),"")</f>
        <v/>
      </c>
      <c r="H37" s="10" t="str">
        <f aca="false">IFERROR(ROUND(AVERAGEIFS(Responses!$J$2:$J$200000,Responses!$A$2:$A$200000,$A37,Responses!$G$2:$G$200000,"EO"),2),"")</f>
        <v/>
      </c>
      <c r="I37" s="10" t="str">
        <f aca="false">IFERROR(ROUND(AVERAGEIFS(Responses!$J$2:$J$200000,Responses!$A$2:$A$200000,$A37,Responses!$G$2:$G$200000,"EM"),2),"")</f>
        <v/>
      </c>
      <c r="J37" s="10" t="str">
        <f aca="false">IFERROR(ROUND(AVERAGEIFS(Responses!$J$2:$J$200000,Responses!$A$2:$A$200000,$A37,Responses!$G$2:$G$200000,"DI"),2),"")</f>
        <v/>
      </c>
      <c r="K37" s="10" t="str">
        <f aca="false">IFERROR(ROUND(AVERAGEIFS(Responses!$J$2:$J$200000,Responses!$A$2:$A$200000,$A37,Responses!$G$2:$G$200000,"TC"),2),"")</f>
        <v/>
      </c>
      <c r="L37" s="10" t="str">
        <f aca="false">IFERROR(ROUND(AVERAGEIFS(Responses!$J$2:$J$200000,Responses!$A$2:$A$200000,$A37,Responses!$G$2:$G$200000,"DP"),2),"")</f>
        <v/>
      </c>
      <c r="M37" s="10" t="str">
        <f aca="false">IFERROR(ROUND(AVERAGEIFS(Responses!$J$2:$J$200000,Responses!$A$2:$A$200000,$A37,Responses!$G$2:$G$200000,"DS"),2),"")</f>
        <v/>
      </c>
      <c r="N37" s="10" t="str">
        <f aca="false">IFERROR(ROUND(AVERAGEIFS(Responses!$J$2:$J$200000,Responses!$A$2:$A$200000,$A37,Responses!$G$2:$G$200000,"PS"),2),"")</f>
        <v/>
      </c>
      <c r="O37" s="10" t="str">
        <f aca="false">IFERROR(ROUND(AVERAGEIFS(Responses!$J$2:$J$200000,Responses!$A$2:$A$200000,$A37,Responses!$G$2:$G$200000,"AS"),2),"")</f>
        <v/>
      </c>
      <c r="P37" s="10" t="str">
        <f aca="false">IFERROR(ROUND(AVERAGEIFS(Responses!$J$2:$J$200000,Responses!$A$2:$A$200000,$A37,Responses!$G$2:$G$200000,"IR"),2),"")</f>
        <v/>
      </c>
      <c r="Q37" s="10" t="str">
        <f aca="false">IFERROR(ROUND(AVERAGEIFS(Responses!$J$2:$J$200000,Responses!$A$2:$A$200000,$A37,Responses!$G$2:$G$200000,"PC"),2),"")</f>
        <v/>
      </c>
    </row>
    <row r="38" customFormat="false" ht="15" hidden="false" customHeight="false" outlineLevel="0" collapsed="false">
      <c r="A38" s="8"/>
      <c r="B38" s="9" t="str">
        <f aca="false">IFERROR(INDEX(Responses!$J$2:$J$200000,MATCH(1,INDEX((Responses!$A$2:$A$200000=$A38)*(Responses!$F$2:$F$200000="DEM_school_name"),0),0)),"")</f>
        <v/>
      </c>
      <c r="C38" s="9" t="str">
        <f aca="false">IFERROR(INDEX(Responses!$J$2:$J$200000,MATCH(1,INDEX((Responses!$A$2:$A$200000=$A38)*(Responses!$F$2:$F$200000="DEM_class_grade"),0),0)),"")</f>
        <v/>
      </c>
      <c r="D38" s="9" t="n">
        <f aca="false">COUNTIFS(Responses!$A$2:$A$200000,$A38,Responses!$D$2:$D$200000,"B",Responses!$J$2:$J$200000,"&gt;0")</f>
        <v>0</v>
      </c>
      <c r="E38" s="9" t="str">
        <f aca="false">IF(A38="","",71-D38)</f>
        <v/>
      </c>
      <c r="F38" s="10" t="str">
        <f aca="false">IFERROR(ROUND(AVERAGEIFS(Responses!$J$2:$J$200000,Responses!$A$2:$A$200000,$A38,Responses!$G$2:$G$200000,"ER"),2),"")</f>
        <v/>
      </c>
      <c r="G38" s="10" t="str">
        <f aca="false">IFERROR(ROUND(AVERAGEIFS(Responses!$J$2:$J$200000,Responses!$A$2:$A$200000,$A38,Responses!$G$2:$G$200000,"RE"),2),"")</f>
        <v/>
      </c>
      <c r="H38" s="10" t="str">
        <f aca="false">IFERROR(ROUND(AVERAGEIFS(Responses!$J$2:$J$200000,Responses!$A$2:$A$200000,$A38,Responses!$G$2:$G$200000,"EO"),2),"")</f>
        <v/>
      </c>
      <c r="I38" s="10" t="str">
        <f aca="false">IFERROR(ROUND(AVERAGEIFS(Responses!$J$2:$J$200000,Responses!$A$2:$A$200000,$A38,Responses!$G$2:$G$200000,"EM"),2),"")</f>
        <v/>
      </c>
      <c r="J38" s="10" t="str">
        <f aca="false">IFERROR(ROUND(AVERAGEIFS(Responses!$J$2:$J$200000,Responses!$A$2:$A$200000,$A38,Responses!$G$2:$G$200000,"DI"),2),"")</f>
        <v/>
      </c>
      <c r="K38" s="10" t="str">
        <f aca="false">IFERROR(ROUND(AVERAGEIFS(Responses!$J$2:$J$200000,Responses!$A$2:$A$200000,$A38,Responses!$G$2:$G$200000,"TC"),2),"")</f>
        <v/>
      </c>
      <c r="L38" s="10" t="str">
        <f aca="false">IFERROR(ROUND(AVERAGEIFS(Responses!$J$2:$J$200000,Responses!$A$2:$A$200000,$A38,Responses!$G$2:$G$200000,"DP"),2),"")</f>
        <v/>
      </c>
      <c r="M38" s="10" t="str">
        <f aca="false">IFERROR(ROUND(AVERAGEIFS(Responses!$J$2:$J$200000,Responses!$A$2:$A$200000,$A38,Responses!$G$2:$G$200000,"DS"),2),"")</f>
        <v/>
      </c>
      <c r="N38" s="10" t="str">
        <f aca="false">IFERROR(ROUND(AVERAGEIFS(Responses!$J$2:$J$200000,Responses!$A$2:$A$200000,$A38,Responses!$G$2:$G$200000,"PS"),2),"")</f>
        <v/>
      </c>
      <c r="O38" s="10" t="str">
        <f aca="false">IFERROR(ROUND(AVERAGEIFS(Responses!$J$2:$J$200000,Responses!$A$2:$A$200000,$A38,Responses!$G$2:$G$200000,"AS"),2),"")</f>
        <v/>
      </c>
      <c r="P38" s="10" t="str">
        <f aca="false">IFERROR(ROUND(AVERAGEIFS(Responses!$J$2:$J$200000,Responses!$A$2:$A$200000,$A38,Responses!$G$2:$G$200000,"IR"),2),"")</f>
        <v/>
      </c>
      <c r="Q38" s="10" t="str">
        <f aca="false">IFERROR(ROUND(AVERAGEIFS(Responses!$J$2:$J$200000,Responses!$A$2:$A$200000,$A38,Responses!$G$2:$G$200000,"PC"),2),"")</f>
        <v/>
      </c>
    </row>
    <row r="39" customFormat="false" ht="15" hidden="false" customHeight="false" outlineLevel="0" collapsed="false">
      <c r="A39" s="8"/>
      <c r="B39" s="9" t="str">
        <f aca="false">IFERROR(INDEX(Responses!$J$2:$J$200000,MATCH(1,INDEX((Responses!$A$2:$A$200000=$A39)*(Responses!$F$2:$F$200000="DEM_school_name"),0),0)),"")</f>
        <v/>
      </c>
      <c r="C39" s="9" t="str">
        <f aca="false">IFERROR(INDEX(Responses!$J$2:$J$200000,MATCH(1,INDEX((Responses!$A$2:$A$200000=$A39)*(Responses!$F$2:$F$200000="DEM_class_grade"),0),0)),"")</f>
        <v/>
      </c>
      <c r="D39" s="9" t="n">
        <f aca="false">COUNTIFS(Responses!$A$2:$A$200000,$A39,Responses!$D$2:$D$200000,"B",Responses!$J$2:$J$200000,"&gt;0")</f>
        <v>0</v>
      </c>
      <c r="E39" s="9" t="str">
        <f aca="false">IF(A39="","",71-D39)</f>
        <v/>
      </c>
      <c r="F39" s="10" t="str">
        <f aca="false">IFERROR(ROUND(AVERAGEIFS(Responses!$J$2:$J$200000,Responses!$A$2:$A$200000,$A39,Responses!$G$2:$G$200000,"ER"),2),"")</f>
        <v/>
      </c>
      <c r="G39" s="10" t="str">
        <f aca="false">IFERROR(ROUND(AVERAGEIFS(Responses!$J$2:$J$200000,Responses!$A$2:$A$200000,$A39,Responses!$G$2:$G$200000,"RE"),2),"")</f>
        <v/>
      </c>
      <c r="H39" s="10" t="str">
        <f aca="false">IFERROR(ROUND(AVERAGEIFS(Responses!$J$2:$J$200000,Responses!$A$2:$A$200000,$A39,Responses!$G$2:$G$200000,"EO"),2),"")</f>
        <v/>
      </c>
      <c r="I39" s="10" t="str">
        <f aca="false">IFERROR(ROUND(AVERAGEIFS(Responses!$J$2:$J$200000,Responses!$A$2:$A$200000,$A39,Responses!$G$2:$G$200000,"EM"),2),"")</f>
        <v/>
      </c>
      <c r="J39" s="10" t="str">
        <f aca="false">IFERROR(ROUND(AVERAGEIFS(Responses!$J$2:$J$200000,Responses!$A$2:$A$200000,$A39,Responses!$G$2:$G$200000,"DI"),2),"")</f>
        <v/>
      </c>
      <c r="K39" s="10" t="str">
        <f aca="false">IFERROR(ROUND(AVERAGEIFS(Responses!$J$2:$J$200000,Responses!$A$2:$A$200000,$A39,Responses!$G$2:$G$200000,"TC"),2),"")</f>
        <v/>
      </c>
      <c r="L39" s="10" t="str">
        <f aca="false">IFERROR(ROUND(AVERAGEIFS(Responses!$J$2:$J$200000,Responses!$A$2:$A$200000,$A39,Responses!$G$2:$G$200000,"DP"),2),"")</f>
        <v/>
      </c>
      <c r="M39" s="10" t="str">
        <f aca="false">IFERROR(ROUND(AVERAGEIFS(Responses!$J$2:$J$200000,Responses!$A$2:$A$200000,$A39,Responses!$G$2:$G$200000,"DS"),2),"")</f>
        <v/>
      </c>
      <c r="N39" s="10" t="str">
        <f aca="false">IFERROR(ROUND(AVERAGEIFS(Responses!$J$2:$J$200000,Responses!$A$2:$A$200000,$A39,Responses!$G$2:$G$200000,"PS"),2),"")</f>
        <v/>
      </c>
      <c r="O39" s="10" t="str">
        <f aca="false">IFERROR(ROUND(AVERAGEIFS(Responses!$J$2:$J$200000,Responses!$A$2:$A$200000,$A39,Responses!$G$2:$G$200000,"AS"),2),"")</f>
        <v/>
      </c>
      <c r="P39" s="10" t="str">
        <f aca="false">IFERROR(ROUND(AVERAGEIFS(Responses!$J$2:$J$200000,Responses!$A$2:$A$200000,$A39,Responses!$G$2:$G$200000,"IR"),2),"")</f>
        <v/>
      </c>
      <c r="Q39" s="10" t="str">
        <f aca="false">IFERROR(ROUND(AVERAGEIFS(Responses!$J$2:$J$200000,Responses!$A$2:$A$200000,$A39,Responses!$G$2:$G$200000,"PC"),2),"")</f>
        <v/>
      </c>
    </row>
    <row r="40" customFormat="false" ht="15" hidden="false" customHeight="false" outlineLevel="0" collapsed="false">
      <c r="A40" s="8"/>
      <c r="B40" s="9" t="str">
        <f aca="false">IFERROR(INDEX(Responses!$J$2:$J$200000,MATCH(1,INDEX((Responses!$A$2:$A$200000=$A40)*(Responses!$F$2:$F$200000="DEM_school_name"),0),0)),"")</f>
        <v/>
      </c>
      <c r="C40" s="9" t="str">
        <f aca="false">IFERROR(INDEX(Responses!$J$2:$J$200000,MATCH(1,INDEX((Responses!$A$2:$A$200000=$A40)*(Responses!$F$2:$F$200000="DEM_class_grade"),0),0)),"")</f>
        <v/>
      </c>
      <c r="D40" s="9" t="n">
        <f aca="false">COUNTIFS(Responses!$A$2:$A$200000,$A40,Responses!$D$2:$D$200000,"B",Responses!$J$2:$J$200000,"&gt;0")</f>
        <v>0</v>
      </c>
      <c r="E40" s="9" t="str">
        <f aca="false">IF(A40="","",71-D40)</f>
        <v/>
      </c>
      <c r="F40" s="10" t="str">
        <f aca="false">IFERROR(ROUND(AVERAGEIFS(Responses!$J$2:$J$200000,Responses!$A$2:$A$200000,$A40,Responses!$G$2:$G$200000,"ER"),2),"")</f>
        <v/>
      </c>
      <c r="G40" s="10" t="str">
        <f aca="false">IFERROR(ROUND(AVERAGEIFS(Responses!$J$2:$J$200000,Responses!$A$2:$A$200000,$A40,Responses!$G$2:$G$200000,"RE"),2),"")</f>
        <v/>
      </c>
      <c r="H40" s="10" t="str">
        <f aca="false">IFERROR(ROUND(AVERAGEIFS(Responses!$J$2:$J$200000,Responses!$A$2:$A$200000,$A40,Responses!$G$2:$G$200000,"EO"),2),"")</f>
        <v/>
      </c>
      <c r="I40" s="10" t="str">
        <f aca="false">IFERROR(ROUND(AVERAGEIFS(Responses!$J$2:$J$200000,Responses!$A$2:$A$200000,$A40,Responses!$G$2:$G$200000,"EM"),2),"")</f>
        <v/>
      </c>
      <c r="J40" s="10" t="str">
        <f aca="false">IFERROR(ROUND(AVERAGEIFS(Responses!$J$2:$J$200000,Responses!$A$2:$A$200000,$A40,Responses!$G$2:$G$200000,"DI"),2),"")</f>
        <v/>
      </c>
      <c r="K40" s="10" t="str">
        <f aca="false">IFERROR(ROUND(AVERAGEIFS(Responses!$J$2:$J$200000,Responses!$A$2:$A$200000,$A40,Responses!$G$2:$G$200000,"TC"),2),"")</f>
        <v/>
      </c>
      <c r="L40" s="10" t="str">
        <f aca="false">IFERROR(ROUND(AVERAGEIFS(Responses!$J$2:$J$200000,Responses!$A$2:$A$200000,$A40,Responses!$G$2:$G$200000,"DP"),2),"")</f>
        <v/>
      </c>
      <c r="M40" s="10" t="str">
        <f aca="false">IFERROR(ROUND(AVERAGEIFS(Responses!$J$2:$J$200000,Responses!$A$2:$A$200000,$A40,Responses!$G$2:$G$200000,"DS"),2),"")</f>
        <v/>
      </c>
      <c r="N40" s="10" t="str">
        <f aca="false">IFERROR(ROUND(AVERAGEIFS(Responses!$J$2:$J$200000,Responses!$A$2:$A$200000,$A40,Responses!$G$2:$G$200000,"PS"),2),"")</f>
        <v/>
      </c>
      <c r="O40" s="10" t="str">
        <f aca="false">IFERROR(ROUND(AVERAGEIFS(Responses!$J$2:$J$200000,Responses!$A$2:$A$200000,$A40,Responses!$G$2:$G$200000,"AS"),2),"")</f>
        <v/>
      </c>
      <c r="P40" s="10" t="str">
        <f aca="false">IFERROR(ROUND(AVERAGEIFS(Responses!$J$2:$J$200000,Responses!$A$2:$A$200000,$A40,Responses!$G$2:$G$200000,"IR"),2),"")</f>
        <v/>
      </c>
      <c r="Q40" s="10" t="str">
        <f aca="false">IFERROR(ROUND(AVERAGEIFS(Responses!$J$2:$J$200000,Responses!$A$2:$A$200000,$A40,Responses!$G$2:$G$200000,"PC"),2),"")</f>
        <v/>
      </c>
    </row>
    <row r="41" customFormat="false" ht="15" hidden="false" customHeight="false" outlineLevel="0" collapsed="false">
      <c r="A41" s="8"/>
      <c r="B41" s="9" t="str">
        <f aca="false">IFERROR(INDEX(Responses!$J$2:$J$200000,MATCH(1,INDEX((Responses!$A$2:$A$200000=$A41)*(Responses!$F$2:$F$200000="DEM_school_name"),0),0)),"")</f>
        <v/>
      </c>
      <c r="C41" s="9" t="str">
        <f aca="false">IFERROR(INDEX(Responses!$J$2:$J$200000,MATCH(1,INDEX((Responses!$A$2:$A$200000=$A41)*(Responses!$F$2:$F$200000="DEM_class_grade"),0),0)),"")</f>
        <v/>
      </c>
      <c r="D41" s="9" t="n">
        <f aca="false">COUNTIFS(Responses!$A$2:$A$200000,$A41,Responses!$D$2:$D$200000,"B",Responses!$J$2:$J$200000,"&gt;0")</f>
        <v>0</v>
      </c>
      <c r="E41" s="9" t="str">
        <f aca="false">IF(A41="","",71-D41)</f>
        <v/>
      </c>
      <c r="F41" s="10" t="str">
        <f aca="false">IFERROR(ROUND(AVERAGEIFS(Responses!$J$2:$J$200000,Responses!$A$2:$A$200000,$A41,Responses!$G$2:$G$200000,"ER"),2),"")</f>
        <v/>
      </c>
      <c r="G41" s="10" t="str">
        <f aca="false">IFERROR(ROUND(AVERAGEIFS(Responses!$J$2:$J$200000,Responses!$A$2:$A$200000,$A41,Responses!$G$2:$G$200000,"RE"),2),"")</f>
        <v/>
      </c>
      <c r="H41" s="10" t="str">
        <f aca="false">IFERROR(ROUND(AVERAGEIFS(Responses!$J$2:$J$200000,Responses!$A$2:$A$200000,$A41,Responses!$G$2:$G$200000,"EO"),2),"")</f>
        <v/>
      </c>
      <c r="I41" s="10" t="str">
        <f aca="false">IFERROR(ROUND(AVERAGEIFS(Responses!$J$2:$J$200000,Responses!$A$2:$A$200000,$A41,Responses!$G$2:$G$200000,"EM"),2),"")</f>
        <v/>
      </c>
      <c r="J41" s="10" t="str">
        <f aca="false">IFERROR(ROUND(AVERAGEIFS(Responses!$J$2:$J$200000,Responses!$A$2:$A$200000,$A41,Responses!$G$2:$G$200000,"DI"),2),"")</f>
        <v/>
      </c>
      <c r="K41" s="10" t="str">
        <f aca="false">IFERROR(ROUND(AVERAGEIFS(Responses!$J$2:$J$200000,Responses!$A$2:$A$200000,$A41,Responses!$G$2:$G$200000,"TC"),2),"")</f>
        <v/>
      </c>
      <c r="L41" s="10" t="str">
        <f aca="false">IFERROR(ROUND(AVERAGEIFS(Responses!$J$2:$J$200000,Responses!$A$2:$A$200000,$A41,Responses!$G$2:$G$200000,"DP"),2),"")</f>
        <v/>
      </c>
      <c r="M41" s="10" t="str">
        <f aca="false">IFERROR(ROUND(AVERAGEIFS(Responses!$J$2:$J$200000,Responses!$A$2:$A$200000,$A41,Responses!$G$2:$G$200000,"DS"),2),"")</f>
        <v/>
      </c>
      <c r="N41" s="10" t="str">
        <f aca="false">IFERROR(ROUND(AVERAGEIFS(Responses!$J$2:$J$200000,Responses!$A$2:$A$200000,$A41,Responses!$G$2:$G$200000,"PS"),2),"")</f>
        <v/>
      </c>
      <c r="O41" s="10" t="str">
        <f aca="false">IFERROR(ROUND(AVERAGEIFS(Responses!$J$2:$J$200000,Responses!$A$2:$A$200000,$A41,Responses!$G$2:$G$200000,"AS"),2),"")</f>
        <v/>
      </c>
      <c r="P41" s="10" t="str">
        <f aca="false">IFERROR(ROUND(AVERAGEIFS(Responses!$J$2:$J$200000,Responses!$A$2:$A$200000,$A41,Responses!$G$2:$G$200000,"IR"),2),"")</f>
        <v/>
      </c>
      <c r="Q41" s="10" t="str">
        <f aca="false">IFERROR(ROUND(AVERAGEIFS(Responses!$J$2:$J$200000,Responses!$A$2:$A$200000,$A41,Responses!$G$2:$G$200000,"PC"),2),"")</f>
        <v/>
      </c>
    </row>
    <row r="42" customFormat="false" ht="15" hidden="false" customHeight="false" outlineLevel="0" collapsed="false">
      <c r="A42" s="8"/>
      <c r="B42" s="9" t="str">
        <f aca="false">IFERROR(INDEX(Responses!$J$2:$J$200000,MATCH(1,INDEX((Responses!$A$2:$A$200000=$A42)*(Responses!$F$2:$F$200000="DEM_school_name"),0),0)),"")</f>
        <v/>
      </c>
      <c r="C42" s="9" t="str">
        <f aca="false">IFERROR(INDEX(Responses!$J$2:$J$200000,MATCH(1,INDEX((Responses!$A$2:$A$200000=$A42)*(Responses!$F$2:$F$200000="DEM_class_grade"),0),0)),"")</f>
        <v/>
      </c>
      <c r="D42" s="9" t="n">
        <f aca="false">COUNTIFS(Responses!$A$2:$A$200000,$A42,Responses!$D$2:$D$200000,"B",Responses!$J$2:$J$200000,"&gt;0")</f>
        <v>0</v>
      </c>
      <c r="E42" s="9" t="str">
        <f aca="false">IF(A42="","",71-D42)</f>
        <v/>
      </c>
      <c r="F42" s="10" t="str">
        <f aca="false">IFERROR(ROUND(AVERAGEIFS(Responses!$J$2:$J$200000,Responses!$A$2:$A$200000,$A42,Responses!$G$2:$G$200000,"ER"),2),"")</f>
        <v/>
      </c>
      <c r="G42" s="10" t="str">
        <f aca="false">IFERROR(ROUND(AVERAGEIFS(Responses!$J$2:$J$200000,Responses!$A$2:$A$200000,$A42,Responses!$G$2:$G$200000,"RE"),2),"")</f>
        <v/>
      </c>
      <c r="H42" s="10" t="str">
        <f aca="false">IFERROR(ROUND(AVERAGEIFS(Responses!$J$2:$J$200000,Responses!$A$2:$A$200000,$A42,Responses!$G$2:$G$200000,"EO"),2),"")</f>
        <v/>
      </c>
      <c r="I42" s="10" t="str">
        <f aca="false">IFERROR(ROUND(AVERAGEIFS(Responses!$J$2:$J$200000,Responses!$A$2:$A$200000,$A42,Responses!$G$2:$G$200000,"EM"),2),"")</f>
        <v/>
      </c>
      <c r="J42" s="10" t="str">
        <f aca="false">IFERROR(ROUND(AVERAGEIFS(Responses!$J$2:$J$200000,Responses!$A$2:$A$200000,$A42,Responses!$G$2:$G$200000,"DI"),2),"")</f>
        <v/>
      </c>
      <c r="K42" s="10" t="str">
        <f aca="false">IFERROR(ROUND(AVERAGEIFS(Responses!$J$2:$J$200000,Responses!$A$2:$A$200000,$A42,Responses!$G$2:$G$200000,"TC"),2),"")</f>
        <v/>
      </c>
      <c r="L42" s="10" t="str">
        <f aca="false">IFERROR(ROUND(AVERAGEIFS(Responses!$J$2:$J$200000,Responses!$A$2:$A$200000,$A42,Responses!$G$2:$G$200000,"DP"),2),"")</f>
        <v/>
      </c>
      <c r="M42" s="10" t="str">
        <f aca="false">IFERROR(ROUND(AVERAGEIFS(Responses!$J$2:$J$200000,Responses!$A$2:$A$200000,$A42,Responses!$G$2:$G$200000,"DS"),2),"")</f>
        <v/>
      </c>
      <c r="N42" s="10" t="str">
        <f aca="false">IFERROR(ROUND(AVERAGEIFS(Responses!$J$2:$J$200000,Responses!$A$2:$A$200000,$A42,Responses!$G$2:$G$200000,"PS"),2),"")</f>
        <v/>
      </c>
      <c r="O42" s="10" t="str">
        <f aca="false">IFERROR(ROUND(AVERAGEIFS(Responses!$J$2:$J$200000,Responses!$A$2:$A$200000,$A42,Responses!$G$2:$G$200000,"AS"),2),"")</f>
        <v/>
      </c>
      <c r="P42" s="10" t="str">
        <f aca="false">IFERROR(ROUND(AVERAGEIFS(Responses!$J$2:$J$200000,Responses!$A$2:$A$200000,$A42,Responses!$G$2:$G$200000,"IR"),2),"")</f>
        <v/>
      </c>
      <c r="Q42" s="10" t="str">
        <f aca="false">IFERROR(ROUND(AVERAGEIFS(Responses!$J$2:$J$200000,Responses!$A$2:$A$200000,$A42,Responses!$G$2:$G$200000,"PC"),2),"")</f>
        <v/>
      </c>
    </row>
    <row r="43" customFormat="false" ht="15" hidden="false" customHeight="false" outlineLevel="0" collapsed="false">
      <c r="A43" s="8"/>
      <c r="B43" s="9" t="str">
        <f aca="false">IFERROR(INDEX(Responses!$J$2:$J$200000,MATCH(1,INDEX((Responses!$A$2:$A$200000=$A43)*(Responses!$F$2:$F$200000="DEM_school_name"),0),0)),"")</f>
        <v/>
      </c>
      <c r="C43" s="9" t="str">
        <f aca="false">IFERROR(INDEX(Responses!$J$2:$J$200000,MATCH(1,INDEX((Responses!$A$2:$A$200000=$A43)*(Responses!$F$2:$F$200000="DEM_class_grade"),0),0)),"")</f>
        <v/>
      </c>
      <c r="D43" s="9" t="n">
        <f aca="false">COUNTIFS(Responses!$A$2:$A$200000,$A43,Responses!$D$2:$D$200000,"B",Responses!$J$2:$J$200000,"&gt;0")</f>
        <v>0</v>
      </c>
      <c r="E43" s="9" t="str">
        <f aca="false">IF(A43="","",71-D43)</f>
        <v/>
      </c>
      <c r="F43" s="10" t="str">
        <f aca="false">IFERROR(ROUND(AVERAGEIFS(Responses!$J$2:$J$200000,Responses!$A$2:$A$200000,$A43,Responses!$G$2:$G$200000,"ER"),2),"")</f>
        <v/>
      </c>
      <c r="G43" s="10" t="str">
        <f aca="false">IFERROR(ROUND(AVERAGEIFS(Responses!$J$2:$J$200000,Responses!$A$2:$A$200000,$A43,Responses!$G$2:$G$200000,"RE"),2),"")</f>
        <v/>
      </c>
      <c r="H43" s="10" t="str">
        <f aca="false">IFERROR(ROUND(AVERAGEIFS(Responses!$J$2:$J$200000,Responses!$A$2:$A$200000,$A43,Responses!$G$2:$G$200000,"EO"),2),"")</f>
        <v/>
      </c>
      <c r="I43" s="10" t="str">
        <f aca="false">IFERROR(ROUND(AVERAGEIFS(Responses!$J$2:$J$200000,Responses!$A$2:$A$200000,$A43,Responses!$G$2:$G$200000,"EM"),2),"")</f>
        <v/>
      </c>
      <c r="J43" s="10" t="str">
        <f aca="false">IFERROR(ROUND(AVERAGEIFS(Responses!$J$2:$J$200000,Responses!$A$2:$A$200000,$A43,Responses!$G$2:$G$200000,"DI"),2),"")</f>
        <v/>
      </c>
      <c r="K43" s="10" t="str">
        <f aca="false">IFERROR(ROUND(AVERAGEIFS(Responses!$J$2:$J$200000,Responses!$A$2:$A$200000,$A43,Responses!$G$2:$G$200000,"TC"),2),"")</f>
        <v/>
      </c>
      <c r="L43" s="10" t="str">
        <f aca="false">IFERROR(ROUND(AVERAGEIFS(Responses!$J$2:$J$200000,Responses!$A$2:$A$200000,$A43,Responses!$G$2:$G$200000,"DP"),2),"")</f>
        <v/>
      </c>
      <c r="M43" s="10" t="str">
        <f aca="false">IFERROR(ROUND(AVERAGEIFS(Responses!$J$2:$J$200000,Responses!$A$2:$A$200000,$A43,Responses!$G$2:$G$200000,"DS"),2),"")</f>
        <v/>
      </c>
      <c r="N43" s="10" t="str">
        <f aca="false">IFERROR(ROUND(AVERAGEIFS(Responses!$J$2:$J$200000,Responses!$A$2:$A$200000,$A43,Responses!$G$2:$G$200000,"PS"),2),"")</f>
        <v/>
      </c>
      <c r="O43" s="10" t="str">
        <f aca="false">IFERROR(ROUND(AVERAGEIFS(Responses!$J$2:$J$200000,Responses!$A$2:$A$200000,$A43,Responses!$G$2:$G$200000,"AS"),2),"")</f>
        <v/>
      </c>
      <c r="P43" s="10" t="str">
        <f aca="false">IFERROR(ROUND(AVERAGEIFS(Responses!$J$2:$J$200000,Responses!$A$2:$A$200000,$A43,Responses!$G$2:$G$200000,"IR"),2),"")</f>
        <v/>
      </c>
      <c r="Q43" s="10" t="str">
        <f aca="false">IFERROR(ROUND(AVERAGEIFS(Responses!$J$2:$J$200000,Responses!$A$2:$A$200000,$A43,Responses!$G$2:$G$200000,"PC"),2),"")</f>
        <v/>
      </c>
    </row>
    <row r="44" customFormat="false" ht="15" hidden="false" customHeight="false" outlineLevel="0" collapsed="false">
      <c r="A44" s="8"/>
      <c r="B44" s="9" t="str">
        <f aca="false">IFERROR(INDEX(Responses!$J$2:$J$200000,MATCH(1,INDEX((Responses!$A$2:$A$200000=$A44)*(Responses!$F$2:$F$200000="DEM_school_name"),0),0)),"")</f>
        <v/>
      </c>
      <c r="C44" s="9" t="str">
        <f aca="false">IFERROR(INDEX(Responses!$J$2:$J$200000,MATCH(1,INDEX((Responses!$A$2:$A$200000=$A44)*(Responses!$F$2:$F$200000="DEM_class_grade"),0),0)),"")</f>
        <v/>
      </c>
      <c r="D44" s="9" t="n">
        <f aca="false">COUNTIFS(Responses!$A$2:$A$200000,$A44,Responses!$D$2:$D$200000,"B",Responses!$J$2:$J$200000,"&gt;0")</f>
        <v>0</v>
      </c>
      <c r="E44" s="9" t="str">
        <f aca="false">IF(A44="","",71-D44)</f>
        <v/>
      </c>
      <c r="F44" s="10" t="str">
        <f aca="false">IFERROR(ROUND(AVERAGEIFS(Responses!$J$2:$J$200000,Responses!$A$2:$A$200000,$A44,Responses!$G$2:$G$200000,"ER"),2),"")</f>
        <v/>
      </c>
      <c r="G44" s="10" t="str">
        <f aca="false">IFERROR(ROUND(AVERAGEIFS(Responses!$J$2:$J$200000,Responses!$A$2:$A$200000,$A44,Responses!$G$2:$G$200000,"RE"),2),"")</f>
        <v/>
      </c>
      <c r="H44" s="10" t="str">
        <f aca="false">IFERROR(ROUND(AVERAGEIFS(Responses!$J$2:$J$200000,Responses!$A$2:$A$200000,$A44,Responses!$G$2:$G$200000,"EO"),2),"")</f>
        <v/>
      </c>
      <c r="I44" s="10" t="str">
        <f aca="false">IFERROR(ROUND(AVERAGEIFS(Responses!$J$2:$J$200000,Responses!$A$2:$A$200000,$A44,Responses!$G$2:$G$200000,"EM"),2),"")</f>
        <v/>
      </c>
      <c r="J44" s="10" t="str">
        <f aca="false">IFERROR(ROUND(AVERAGEIFS(Responses!$J$2:$J$200000,Responses!$A$2:$A$200000,$A44,Responses!$G$2:$G$200000,"DI"),2),"")</f>
        <v/>
      </c>
      <c r="K44" s="10" t="str">
        <f aca="false">IFERROR(ROUND(AVERAGEIFS(Responses!$J$2:$J$200000,Responses!$A$2:$A$200000,$A44,Responses!$G$2:$G$200000,"TC"),2),"")</f>
        <v/>
      </c>
      <c r="L44" s="10" t="str">
        <f aca="false">IFERROR(ROUND(AVERAGEIFS(Responses!$J$2:$J$200000,Responses!$A$2:$A$200000,$A44,Responses!$G$2:$G$200000,"DP"),2),"")</f>
        <v/>
      </c>
      <c r="M44" s="10" t="str">
        <f aca="false">IFERROR(ROUND(AVERAGEIFS(Responses!$J$2:$J$200000,Responses!$A$2:$A$200000,$A44,Responses!$G$2:$G$200000,"DS"),2),"")</f>
        <v/>
      </c>
      <c r="N44" s="10" t="str">
        <f aca="false">IFERROR(ROUND(AVERAGEIFS(Responses!$J$2:$J$200000,Responses!$A$2:$A$200000,$A44,Responses!$G$2:$G$200000,"PS"),2),"")</f>
        <v/>
      </c>
      <c r="O44" s="10" t="str">
        <f aca="false">IFERROR(ROUND(AVERAGEIFS(Responses!$J$2:$J$200000,Responses!$A$2:$A$200000,$A44,Responses!$G$2:$G$200000,"AS"),2),"")</f>
        <v/>
      </c>
      <c r="P44" s="10" t="str">
        <f aca="false">IFERROR(ROUND(AVERAGEIFS(Responses!$J$2:$J$200000,Responses!$A$2:$A$200000,$A44,Responses!$G$2:$G$200000,"IR"),2),"")</f>
        <v/>
      </c>
      <c r="Q44" s="10" t="str">
        <f aca="false">IFERROR(ROUND(AVERAGEIFS(Responses!$J$2:$J$200000,Responses!$A$2:$A$200000,$A44,Responses!$G$2:$G$200000,"PC"),2),"")</f>
        <v/>
      </c>
    </row>
    <row r="45" customFormat="false" ht="15" hidden="false" customHeight="false" outlineLevel="0" collapsed="false">
      <c r="A45" s="8"/>
      <c r="B45" s="9" t="str">
        <f aca="false">IFERROR(INDEX(Responses!$J$2:$J$200000,MATCH(1,INDEX((Responses!$A$2:$A$200000=$A45)*(Responses!$F$2:$F$200000="DEM_school_name"),0),0)),"")</f>
        <v/>
      </c>
      <c r="C45" s="9" t="str">
        <f aca="false">IFERROR(INDEX(Responses!$J$2:$J$200000,MATCH(1,INDEX((Responses!$A$2:$A$200000=$A45)*(Responses!$F$2:$F$200000="DEM_class_grade"),0),0)),"")</f>
        <v/>
      </c>
      <c r="D45" s="9" t="n">
        <f aca="false">COUNTIFS(Responses!$A$2:$A$200000,$A45,Responses!$D$2:$D$200000,"B",Responses!$J$2:$J$200000,"&gt;0")</f>
        <v>0</v>
      </c>
      <c r="E45" s="9" t="str">
        <f aca="false">IF(A45="","",71-D45)</f>
        <v/>
      </c>
      <c r="F45" s="10" t="str">
        <f aca="false">IFERROR(ROUND(AVERAGEIFS(Responses!$J$2:$J$200000,Responses!$A$2:$A$200000,$A45,Responses!$G$2:$G$200000,"ER"),2),"")</f>
        <v/>
      </c>
      <c r="G45" s="10" t="str">
        <f aca="false">IFERROR(ROUND(AVERAGEIFS(Responses!$J$2:$J$200000,Responses!$A$2:$A$200000,$A45,Responses!$G$2:$G$200000,"RE"),2),"")</f>
        <v/>
      </c>
      <c r="H45" s="10" t="str">
        <f aca="false">IFERROR(ROUND(AVERAGEIFS(Responses!$J$2:$J$200000,Responses!$A$2:$A$200000,$A45,Responses!$G$2:$G$200000,"EO"),2),"")</f>
        <v/>
      </c>
      <c r="I45" s="10" t="str">
        <f aca="false">IFERROR(ROUND(AVERAGEIFS(Responses!$J$2:$J$200000,Responses!$A$2:$A$200000,$A45,Responses!$G$2:$G$200000,"EM"),2),"")</f>
        <v/>
      </c>
      <c r="J45" s="10" t="str">
        <f aca="false">IFERROR(ROUND(AVERAGEIFS(Responses!$J$2:$J$200000,Responses!$A$2:$A$200000,$A45,Responses!$G$2:$G$200000,"DI"),2),"")</f>
        <v/>
      </c>
      <c r="K45" s="10" t="str">
        <f aca="false">IFERROR(ROUND(AVERAGEIFS(Responses!$J$2:$J$200000,Responses!$A$2:$A$200000,$A45,Responses!$G$2:$G$200000,"TC"),2),"")</f>
        <v/>
      </c>
      <c r="L45" s="10" t="str">
        <f aca="false">IFERROR(ROUND(AVERAGEIFS(Responses!$J$2:$J$200000,Responses!$A$2:$A$200000,$A45,Responses!$G$2:$G$200000,"DP"),2),"")</f>
        <v/>
      </c>
      <c r="M45" s="10" t="str">
        <f aca="false">IFERROR(ROUND(AVERAGEIFS(Responses!$J$2:$J$200000,Responses!$A$2:$A$200000,$A45,Responses!$G$2:$G$200000,"DS"),2),"")</f>
        <v/>
      </c>
      <c r="N45" s="10" t="str">
        <f aca="false">IFERROR(ROUND(AVERAGEIFS(Responses!$J$2:$J$200000,Responses!$A$2:$A$200000,$A45,Responses!$G$2:$G$200000,"PS"),2),"")</f>
        <v/>
      </c>
      <c r="O45" s="10" t="str">
        <f aca="false">IFERROR(ROUND(AVERAGEIFS(Responses!$J$2:$J$200000,Responses!$A$2:$A$200000,$A45,Responses!$G$2:$G$200000,"AS"),2),"")</f>
        <v/>
      </c>
      <c r="P45" s="10" t="str">
        <f aca="false">IFERROR(ROUND(AVERAGEIFS(Responses!$J$2:$J$200000,Responses!$A$2:$A$200000,$A45,Responses!$G$2:$G$200000,"IR"),2),"")</f>
        <v/>
      </c>
      <c r="Q45" s="10" t="str">
        <f aca="false">IFERROR(ROUND(AVERAGEIFS(Responses!$J$2:$J$200000,Responses!$A$2:$A$200000,$A45,Responses!$G$2:$G$200000,"PC"),2),"")</f>
        <v/>
      </c>
    </row>
    <row r="46" customFormat="false" ht="15" hidden="false" customHeight="false" outlineLevel="0" collapsed="false">
      <c r="A46" s="8"/>
      <c r="B46" s="9" t="str">
        <f aca="false">IFERROR(INDEX(Responses!$J$2:$J$200000,MATCH(1,INDEX((Responses!$A$2:$A$200000=$A46)*(Responses!$F$2:$F$200000="DEM_school_name"),0),0)),"")</f>
        <v/>
      </c>
      <c r="C46" s="9" t="str">
        <f aca="false">IFERROR(INDEX(Responses!$J$2:$J$200000,MATCH(1,INDEX((Responses!$A$2:$A$200000=$A46)*(Responses!$F$2:$F$200000="DEM_class_grade"),0),0)),"")</f>
        <v/>
      </c>
      <c r="D46" s="9" t="n">
        <f aca="false">COUNTIFS(Responses!$A$2:$A$200000,$A46,Responses!$D$2:$D$200000,"B",Responses!$J$2:$J$200000,"&gt;0")</f>
        <v>0</v>
      </c>
      <c r="E46" s="9" t="str">
        <f aca="false">IF(A46="","",71-D46)</f>
        <v/>
      </c>
      <c r="F46" s="10" t="str">
        <f aca="false">IFERROR(ROUND(AVERAGEIFS(Responses!$J$2:$J$200000,Responses!$A$2:$A$200000,$A46,Responses!$G$2:$G$200000,"ER"),2),"")</f>
        <v/>
      </c>
      <c r="G46" s="10" t="str">
        <f aca="false">IFERROR(ROUND(AVERAGEIFS(Responses!$J$2:$J$200000,Responses!$A$2:$A$200000,$A46,Responses!$G$2:$G$200000,"RE"),2),"")</f>
        <v/>
      </c>
      <c r="H46" s="10" t="str">
        <f aca="false">IFERROR(ROUND(AVERAGEIFS(Responses!$J$2:$J$200000,Responses!$A$2:$A$200000,$A46,Responses!$G$2:$G$200000,"EO"),2),"")</f>
        <v/>
      </c>
      <c r="I46" s="10" t="str">
        <f aca="false">IFERROR(ROUND(AVERAGEIFS(Responses!$J$2:$J$200000,Responses!$A$2:$A$200000,$A46,Responses!$G$2:$G$200000,"EM"),2),"")</f>
        <v/>
      </c>
      <c r="J46" s="10" t="str">
        <f aca="false">IFERROR(ROUND(AVERAGEIFS(Responses!$J$2:$J$200000,Responses!$A$2:$A$200000,$A46,Responses!$G$2:$G$200000,"DI"),2),"")</f>
        <v/>
      </c>
      <c r="K46" s="10" t="str">
        <f aca="false">IFERROR(ROUND(AVERAGEIFS(Responses!$J$2:$J$200000,Responses!$A$2:$A$200000,$A46,Responses!$G$2:$G$200000,"TC"),2),"")</f>
        <v/>
      </c>
      <c r="L46" s="10" t="str">
        <f aca="false">IFERROR(ROUND(AVERAGEIFS(Responses!$J$2:$J$200000,Responses!$A$2:$A$200000,$A46,Responses!$G$2:$G$200000,"DP"),2),"")</f>
        <v/>
      </c>
      <c r="M46" s="10" t="str">
        <f aca="false">IFERROR(ROUND(AVERAGEIFS(Responses!$J$2:$J$200000,Responses!$A$2:$A$200000,$A46,Responses!$G$2:$G$200000,"DS"),2),"")</f>
        <v/>
      </c>
      <c r="N46" s="10" t="str">
        <f aca="false">IFERROR(ROUND(AVERAGEIFS(Responses!$J$2:$J$200000,Responses!$A$2:$A$200000,$A46,Responses!$G$2:$G$200000,"PS"),2),"")</f>
        <v/>
      </c>
      <c r="O46" s="10" t="str">
        <f aca="false">IFERROR(ROUND(AVERAGEIFS(Responses!$J$2:$J$200000,Responses!$A$2:$A$200000,$A46,Responses!$G$2:$G$200000,"AS"),2),"")</f>
        <v/>
      </c>
      <c r="P46" s="10" t="str">
        <f aca="false">IFERROR(ROUND(AVERAGEIFS(Responses!$J$2:$J$200000,Responses!$A$2:$A$200000,$A46,Responses!$G$2:$G$200000,"IR"),2),"")</f>
        <v/>
      </c>
      <c r="Q46" s="10" t="str">
        <f aca="false">IFERROR(ROUND(AVERAGEIFS(Responses!$J$2:$J$200000,Responses!$A$2:$A$200000,$A46,Responses!$G$2:$G$200000,"PC"),2),"")</f>
        <v/>
      </c>
    </row>
    <row r="47" customFormat="false" ht="15" hidden="false" customHeight="false" outlineLevel="0" collapsed="false">
      <c r="A47" s="8"/>
      <c r="B47" s="9" t="str">
        <f aca="false">IFERROR(INDEX(Responses!$J$2:$J$200000,MATCH(1,INDEX((Responses!$A$2:$A$200000=$A47)*(Responses!$F$2:$F$200000="DEM_school_name"),0),0)),"")</f>
        <v/>
      </c>
      <c r="C47" s="9" t="str">
        <f aca="false">IFERROR(INDEX(Responses!$J$2:$J$200000,MATCH(1,INDEX((Responses!$A$2:$A$200000=$A47)*(Responses!$F$2:$F$200000="DEM_class_grade"),0),0)),"")</f>
        <v/>
      </c>
      <c r="D47" s="9" t="n">
        <f aca="false">COUNTIFS(Responses!$A$2:$A$200000,$A47,Responses!$D$2:$D$200000,"B",Responses!$J$2:$J$200000,"&gt;0")</f>
        <v>0</v>
      </c>
      <c r="E47" s="9" t="str">
        <f aca="false">IF(A47="","",71-D47)</f>
        <v/>
      </c>
      <c r="F47" s="10" t="str">
        <f aca="false">IFERROR(ROUND(AVERAGEIFS(Responses!$J$2:$J$200000,Responses!$A$2:$A$200000,$A47,Responses!$G$2:$G$200000,"ER"),2),"")</f>
        <v/>
      </c>
      <c r="G47" s="10" t="str">
        <f aca="false">IFERROR(ROUND(AVERAGEIFS(Responses!$J$2:$J$200000,Responses!$A$2:$A$200000,$A47,Responses!$G$2:$G$200000,"RE"),2),"")</f>
        <v/>
      </c>
      <c r="H47" s="10" t="str">
        <f aca="false">IFERROR(ROUND(AVERAGEIFS(Responses!$J$2:$J$200000,Responses!$A$2:$A$200000,$A47,Responses!$G$2:$G$200000,"EO"),2),"")</f>
        <v/>
      </c>
      <c r="I47" s="10" t="str">
        <f aca="false">IFERROR(ROUND(AVERAGEIFS(Responses!$J$2:$J$200000,Responses!$A$2:$A$200000,$A47,Responses!$G$2:$G$200000,"EM"),2),"")</f>
        <v/>
      </c>
      <c r="J47" s="10" t="str">
        <f aca="false">IFERROR(ROUND(AVERAGEIFS(Responses!$J$2:$J$200000,Responses!$A$2:$A$200000,$A47,Responses!$G$2:$G$200000,"DI"),2),"")</f>
        <v/>
      </c>
      <c r="K47" s="10" t="str">
        <f aca="false">IFERROR(ROUND(AVERAGEIFS(Responses!$J$2:$J$200000,Responses!$A$2:$A$200000,$A47,Responses!$G$2:$G$200000,"TC"),2),"")</f>
        <v/>
      </c>
      <c r="L47" s="10" t="str">
        <f aca="false">IFERROR(ROUND(AVERAGEIFS(Responses!$J$2:$J$200000,Responses!$A$2:$A$200000,$A47,Responses!$G$2:$G$200000,"DP"),2),"")</f>
        <v/>
      </c>
      <c r="M47" s="10" t="str">
        <f aca="false">IFERROR(ROUND(AVERAGEIFS(Responses!$J$2:$J$200000,Responses!$A$2:$A$200000,$A47,Responses!$G$2:$G$200000,"DS"),2),"")</f>
        <v/>
      </c>
      <c r="N47" s="10" t="str">
        <f aca="false">IFERROR(ROUND(AVERAGEIFS(Responses!$J$2:$J$200000,Responses!$A$2:$A$200000,$A47,Responses!$G$2:$G$200000,"PS"),2),"")</f>
        <v/>
      </c>
      <c r="O47" s="10" t="str">
        <f aca="false">IFERROR(ROUND(AVERAGEIFS(Responses!$J$2:$J$200000,Responses!$A$2:$A$200000,$A47,Responses!$G$2:$G$200000,"AS"),2),"")</f>
        <v/>
      </c>
      <c r="P47" s="10" t="str">
        <f aca="false">IFERROR(ROUND(AVERAGEIFS(Responses!$J$2:$J$200000,Responses!$A$2:$A$200000,$A47,Responses!$G$2:$G$200000,"IR"),2),"")</f>
        <v/>
      </c>
      <c r="Q47" s="10" t="str">
        <f aca="false">IFERROR(ROUND(AVERAGEIFS(Responses!$J$2:$J$200000,Responses!$A$2:$A$200000,$A47,Responses!$G$2:$G$200000,"PC"),2),"")</f>
        <v/>
      </c>
    </row>
    <row r="48" customFormat="false" ht="15" hidden="false" customHeight="false" outlineLevel="0" collapsed="false">
      <c r="A48" s="8"/>
      <c r="B48" s="9" t="str">
        <f aca="false">IFERROR(INDEX(Responses!$J$2:$J$200000,MATCH(1,INDEX((Responses!$A$2:$A$200000=$A48)*(Responses!$F$2:$F$200000="DEM_school_name"),0),0)),"")</f>
        <v/>
      </c>
      <c r="C48" s="9" t="str">
        <f aca="false">IFERROR(INDEX(Responses!$J$2:$J$200000,MATCH(1,INDEX((Responses!$A$2:$A$200000=$A48)*(Responses!$F$2:$F$200000="DEM_class_grade"),0),0)),"")</f>
        <v/>
      </c>
      <c r="D48" s="9" t="n">
        <f aca="false">COUNTIFS(Responses!$A$2:$A$200000,$A48,Responses!$D$2:$D$200000,"B",Responses!$J$2:$J$200000,"&gt;0")</f>
        <v>0</v>
      </c>
      <c r="E48" s="9" t="str">
        <f aca="false">IF(A48="","",71-D48)</f>
        <v/>
      </c>
      <c r="F48" s="10" t="str">
        <f aca="false">IFERROR(ROUND(AVERAGEIFS(Responses!$J$2:$J$200000,Responses!$A$2:$A$200000,$A48,Responses!$G$2:$G$200000,"ER"),2),"")</f>
        <v/>
      </c>
      <c r="G48" s="10" t="str">
        <f aca="false">IFERROR(ROUND(AVERAGEIFS(Responses!$J$2:$J$200000,Responses!$A$2:$A$200000,$A48,Responses!$G$2:$G$200000,"RE"),2),"")</f>
        <v/>
      </c>
      <c r="H48" s="10" t="str">
        <f aca="false">IFERROR(ROUND(AVERAGEIFS(Responses!$J$2:$J$200000,Responses!$A$2:$A$200000,$A48,Responses!$G$2:$G$200000,"EO"),2),"")</f>
        <v/>
      </c>
      <c r="I48" s="10" t="str">
        <f aca="false">IFERROR(ROUND(AVERAGEIFS(Responses!$J$2:$J$200000,Responses!$A$2:$A$200000,$A48,Responses!$G$2:$G$200000,"EM"),2),"")</f>
        <v/>
      </c>
      <c r="J48" s="10" t="str">
        <f aca="false">IFERROR(ROUND(AVERAGEIFS(Responses!$J$2:$J$200000,Responses!$A$2:$A$200000,$A48,Responses!$G$2:$G$200000,"DI"),2),"")</f>
        <v/>
      </c>
      <c r="K48" s="10" t="str">
        <f aca="false">IFERROR(ROUND(AVERAGEIFS(Responses!$J$2:$J$200000,Responses!$A$2:$A$200000,$A48,Responses!$G$2:$G$200000,"TC"),2),"")</f>
        <v/>
      </c>
      <c r="L48" s="10" t="str">
        <f aca="false">IFERROR(ROUND(AVERAGEIFS(Responses!$J$2:$J$200000,Responses!$A$2:$A$200000,$A48,Responses!$G$2:$G$200000,"DP"),2),"")</f>
        <v/>
      </c>
      <c r="M48" s="10" t="str">
        <f aca="false">IFERROR(ROUND(AVERAGEIFS(Responses!$J$2:$J$200000,Responses!$A$2:$A$200000,$A48,Responses!$G$2:$G$200000,"DS"),2),"")</f>
        <v/>
      </c>
      <c r="N48" s="10" t="str">
        <f aca="false">IFERROR(ROUND(AVERAGEIFS(Responses!$J$2:$J$200000,Responses!$A$2:$A$200000,$A48,Responses!$G$2:$G$200000,"PS"),2),"")</f>
        <v/>
      </c>
      <c r="O48" s="10" t="str">
        <f aca="false">IFERROR(ROUND(AVERAGEIFS(Responses!$J$2:$J$200000,Responses!$A$2:$A$200000,$A48,Responses!$G$2:$G$200000,"AS"),2),"")</f>
        <v/>
      </c>
      <c r="P48" s="10" t="str">
        <f aca="false">IFERROR(ROUND(AVERAGEIFS(Responses!$J$2:$J$200000,Responses!$A$2:$A$200000,$A48,Responses!$G$2:$G$200000,"IR"),2),"")</f>
        <v/>
      </c>
      <c r="Q48" s="10" t="str">
        <f aca="false">IFERROR(ROUND(AVERAGEIFS(Responses!$J$2:$J$200000,Responses!$A$2:$A$200000,$A48,Responses!$G$2:$G$200000,"PC"),2),"")</f>
        <v/>
      </c>
    </row>
    <row r="49" customFormat="false" ht="15" hidden="false" customHeight="false" outlineLevel="0" collapsed="false">
      <c r="A49" s="8"/>
      <c r="B49" s="9" t="str">
        <f aca="false">IFERROR(INDEX(Responses!$J$2:$J$200000,MATCH(1,INDEX((Responses!$A$2:$A$200000=$A49)*(Responses!$F$2:$F$200000="DEM_school_name"),0),0)),"")</f>
        <v/>
      </c>
      <c r="C49" s="9" t="str">
        <f aca="false">IFERROR(INDEX(Responses!$J$2:$J$200000,MATCH(1,INDEX((Responses!$A$2:$A$200000=$A49)*(Responses!$F$2:$F$200000="DEM_class_grade"),0),0)),"")</f>
        <v/>
      </c>
      <c r="D49" s="9" t="n">
        <f aca="false">COUNTIFS(Responses!$A$2:$A$200000,$A49,Responses!$D$2:$D$200000,"B",Responses!$J$2:$J$200000,"&gt;0")</f>
        <v>0</v>
      </c>
      <c r="E49" s="9" t="str">
        <f aca="false">IF(A49="","",71-D49)</f>
        <v/>
      </c>
      <c r="F49" s="10" t="str">
        <f aca="false">IFERROR(ROUND(AVERAGEIFS(Responses!$J$2:$J$200000,Responses!$A$2:$A$200000,$A49,Responses!$G$2:$G$200000,"ER"),2),"")</f>
        <v/>
      </c>
      <c r="G49" s="10" t="str">
        <f aca="false">IFERROR(ROUND(AVERAGEIFS(Responses!$J$2:$J$200000,Responses!$A$2:$A$200000,$A49,Responses!$G$2:$G$200000,"RE"),2),"")</f>
        <v/>
      </c>
      <c r="H49" s="10" t="str">
        <f aca="false">IFERROR(ROUND(AVERAGEIFS(Responses!$J$2:$J$200000,Responses!$A$2:$A$200000,$A49,Responses!$G$2:$G$200000,"EO"),2),"")</f>
        <v/>
      </c>
      <c r="I49" s="10" t="str">
        <f aca="false">IFERROR(ROUND(AVERAGEIFS(Responses!$J$2:$J$200000,Responses!$A$2:$A$200000,$A49,Responses!$G$2:$G$200000,"EM"),2),"")</f>
        <v/>
      </c>
      <c r="J49" s="10" t="str">
        <f aca="false">IFERROR(ROUND(AVERAGEIFS(Responses!$J$2:$J$200000,Responses!$A$2:$A$200000,$A49,Responses!$G$2:$G$200000,"DI"),2),"")</f>
        <v/>
      </c>
      <c r="K49" s="10" t="str">
        <f aca="false">IFERROR(ROUND(AVERAGEIFS(Responses!$J$2:$J$200000,Responses!$A$2:$A$200000,$A49,Responses!$G$2:$G$200000,"TC"),2),"")</f>
        <v/>
      </c>
      <c r="L49" s="10" t="str">
        <f aca="false">IFERROR(ROUND(AVERAGEIFS(Responses!$J$2:$J$200000,Responses!$A$2:$A$200000,$A49,Responses!$G$2:$G$200000,"DP"),2),"")</f>
        <v/>
      </c>
      <c r="M49" s="10" t="str">
        <f aca="false">IFERROR(ROUND(AVERAGEIFS(Responses!$J$2:$J$200000,Responses!$A$2:$A$200000,$A49,Responses!$G$2:$G$200000,"DS"),2),"")</f>
        <v/>
      </c>
      <c r="N49" s="10" t="str">
        <f aca="false">IFERROR(ROUND(AVERAGEIFS(Responses!$J$2:$J$200000,Responses!$A$2:$A$200000,$A49,Responses!$G$2:$G$200000,"PS"),2),"")</f>
        <v/>
      </c>
      <c r="O49" s="10" t="str">
        <f aca="false">IFERROR(ROUND(AVERAGEIFS(Responses!$J$2:$J$200000,Responses!$A$2:$A$200000,$A49,Responses!$G$2:$G$200000,"AS"),2),"")</f>
        <v/>
      </c>
      <c r="P49" s="10" t="str">
        <f aca="false">IFERROR(ROUND(AVERAGEIFS(Responses!$J$2:$J$200000,Responses!$A$2:$A$200000,$A49,Responses!$G$2:$G$200000,"IR"),2),"")</f>
        <v/>
      </c>
      <c r="Q49" s="10" t="str">
        <f aca="false">IFERROR(ROUND(AVERAGEIFS(Responses!$J$2:$J$200000,Responses!$A$2:$A$200000,$A49,Responses!$G$2:$G$200000,"PC"),2),"")</f>
        <v/>
      </c>
    </row>
    <row r="50" customFormat="false" ht="15" hidden="false" customHeight="false" outlineLevel="0" collapsed="false">
      <c r="A50" s="8"/>
      <c r="B50" s="9" t="str">
        <f aca="false">IFERROR(INDEX(Responses!$J$2:$J$200000,MATCH(1,INDEX((Responses!$A$2:$A$200000=$A50)*(Responses!$F$2:$F$200000="DEM_school_name"),0),0)),"")</f>
        <v/>
      </c>
      <c r="C50" s="9" t="str">
        <f aca="false">IFERROR(INDEX(Responses!$J$2:$J$200000,MATCH(1,INDEX((Responses!$A$2:$A$200000=$A50)*(Responses!$F$2:$F$200000="DEM_class_grade"),0),0)),"")</f>
        <v/>
      </c>
      <c r="D50" s="9" t="n">
        <f aca="false">COUNTIFS(Responses!$A$2:$A$200000,$A50,Responses!$D$2:$D$200000,"B",Responses!$J$2:$J$200000,"&gt;0")</f>
        <v>0</v>
      </c>
      <c r="E50" s="9" t="str">
        <f aca="false">IF(A50="","",71-D50)</f>
        <v/>
      </c>
      <c r="F50" s="10" t="str">
        <f aca="false">IFERROR(ROUND(AVERAGEIFS(Responses!$J$2:$J$200000,Responses!$A$2:$A$200000,$A50,Responses!$G$2:$G$200000,"ER"),2),"")</f>
        <v/>
      </c>
      <c r="G50" s="10" t="str">
        <f aca="false">IFERROR(ROUND(AVERAGEIFS(Responses!$J$2:$J$200000,Responses!$A$2:$A$200000,$A50,Responses!$G$2:$G$200000,"RE"),2),"")</f>
        <v/>
      </c>
      <c r="H50" s="10" t="str">
        <f aca="false">IFERROR(ROUND(AVERAGEIFS(Responses!$J$2:$J$200000,Responses!$A$2:$A$200000,$A50,Responses!$G$2:$G$200000,"EO"),2),"")</f>
        <v/>
      </c>
      <c r="I50" s="10" t="str">
        <f aca="false">IFERROR(ROUND(AVERAGEIFS(Responses!$J$2:$J$200000,Responses!$A$2:$A$200000,$A50,Responses!$G$2:$G$200000,"EM"),2),"")</f>
        <v/>
      </c>
      <c r="J50" s="10" t="str">
        <f aca="false">IFERROR(ROUND(AVERAGEIFS(Responses!$J$2:$J$200000,Responses!$A$2:$A$200000,$A50,Responses!$G$2:$G$200000,"DI"),2),"")</f>
        <v/>
      </c>
      <c r="K50" s="10" t="str">
        <f aca="false">IFERROR(ROUND(AVERAGEIFS(Responses!$J$2:$J$200000,Responses!$A$2:$A$200000,$A50,Responses!$G$2:$G$200000,"TC"),2),"")</f>
        <v/>
      </c>
      <c r="L50" s="10" t="str">
        <f aca="false">IFERROR(ROUND(AVERAGEIFS(Responses!$J$2:$J$200000,Responses!$A$2:$A$200000,$A50,Responses!$G$2:$G$200000,"DP"),2),"")</f>
        <v/>
      </c>
      <c r="M50" s="10" t="str">
        <f aca="false">IFERROR(ROUND(AVERAGEIFS(Responses!$J$2:$J$200000,Responses!$A$2:$A$200000,$A50,Responses!$G$2:$G$200000,"DS"),2),"")</f>
        <v/>
      </c>
      <c r="N50" s="10" t="str">
        <f aca="false">IFERROR(ROUND(AVERAGEIFS(Responses!$J$2:$J$200000,Responses!$A$2:$A$200000,$A50,Responses!$G$2:$G$200000,"PS"),2),"")</f>
        <v/>
      </c>
      <c r="O50" s="10" t="str">
        <f aca="false">IFERROR(ROUND(AVERAGEIFS(Responses!$J$2:$J$200000,Responses!$A$2:$A$200000,$A50,Responses!$G$2:$G$200000,"AS"),2),"")</f>
        <v/>
      </c>
      <c r="P50" s="10" t="str">
        <f aca="false">IFERROR(ROUND(AVERAGEIFS(Responses!$J$2:$J$200000,Responses!$A$2:$A$200000,$A50,Responses!$G$2:$G$200000,"IR"),2),"")</f>
        <v/>
      </c>
      <c r="Q50" s="10" t="str">
        <f aca="false">IFERROR(ROUND(AVERAGEIFS(Responses!$J$2:$J$200000,Responses!$A$2:$A$200000,$A50,Responses!$G$2:$G$200000,"PC"),2),"")</f>
        <v/>
      </c>
    </row>
    <row r="51" customFormat="false" ht="15" hidden="false" customHeight="false" outlineLevel="0" collapsed="false">
      <c r="A51" s="8"/>
      <c r="B51" s="9" t="str">
        <f aca="false">IFERROR(INDEX(Responses!$J$2:$J$200000,MATCH(1,INDEX((Responses!$A$2:$A$200000=$A51)*(Responses!$F$2:$F$200000="DEM_school_name"),0),0)),"")</f>
        <v/>
      </c>
      <c r="C51" s="9" t="str">
        <f aca="false">IFERROR(INDEX(Responses!$J$2:$J$200000,MATCH(1,INDEX((Responses!$A$2:$A$200000=$A51)*(Responses!$F$2:$F$200000="DEM_class_grade"),0),0)),"")</f>
        <v/>
      </c>
      <c r="D51" s="9" t="n">
        <f aca="false">COUNTIFS(Responses!$A$2:$A$200000,$A51,Responses!$D$2:$D$200000,"B",Responses!$J$2:$J$200000,"&gt;0")</f>
        <v>0</v>
      </c>
      <c r="E51" s="9" t="str">
        <f aca="false">IF(A51="","",71-D51)</f>
        <v/>
      </c>
      <c r="F51" s="10" t="str">
        <f aca="false">IFERROR(ROUND(AVERAGEIFS(Responses!$J$2:$J$200000,Responses!$A$2:$A$200000,$A51,Responses!$G$2:$G$200000,"ER"),2),"")</f>
        <v/>
      </c>
      <c r="G51" s="10" t="str">
        <f aca="false">IFERROR(ROUND(AVERAGEIFS(Responses!$J$2:$J$200000,Responses!$A$2:$A$200000,$A51,Responses!$G$2:$G$200000,"RE"),2),"")</f>
        <v/>
      </c>
      <c r="H51" s="10" t="str">
        <f aca="false">IFERROR(ROUND(AVERAGEIFS(Responses!$J$2:$J$200000,Responses!$A$2:$A$200000,$A51,Responses!$G$2:$G$200000,"EO"),2),"")</f>
        <v/>
      </c>
      <c r="I51" s="10" t="str">
        <f aca="false">IFERROR(ROUND(AVERAGEIFS(Responses!$J$2:$J$200000,Responses!$A$2:$A$200000,$A51,Responses!$G$2:$G$200000,"EM"),2),"")</f>
        <v/>
      </c>
      <c r="J51" s="10" t="str">
        <f aca="false">IFERROR(ROUND(AVERAGEIFS(Responses!$J$2:$J$200000,Responses!$A$2:$A$200000,$A51,Responses!$G$2:$G$200000,"DI"),2),"")</f>
        <v/>
      </c>
      <c r="K51" s="10" t="str">
        <f aca="false">IFERROR(ROUND(AVERAGEIFS(Responses!$J$2:$J$200000,Responses!$A$2:$A$200000,$A51,Responses!$G$2:$G$200000,"TC"),2),"")</f>
        <v/>
      </c>
      <c r="L51" s="10" t="str">
        <f aca="false">IFERROR(ROUND(AVERAGEIFS(Responses!$J$2:$J$200000,Responses!$A$2:$A$200000,$A51,Responses!$G$2:$G$200000,"DP"),2),"")</f>
        <v/>
      </c>
      <c r="M51" s="10" t="str">
        <f aca="false">IFERROR(ROUND(AVERAGEIFS(Responses!$J$2:$J$200000,Responses!$A$2:$A$200000,$A51,Responses!$G$2:$G$200000,"DS"),2),"")</f>
        <v/>
      </c>
      <c r="N51" s="10" t="str">
        <f aca="false">IFERROR(ROUND(AVERAGEIFS(Responses!$J$2:$J$200000,Responses!$A$2:$A$200000,$A51,Responses!$G$2:$G$200000,"PS"),2),"")</f>
        <v/>
      </c>
      <c r="O51" s="10" t="str">
        <f aca="false">IFERROR(ROUND(AVERAGEIFS(Responses!$J$2:$J$200000,Responses!$A$2:$A$200000,$A51,Responses!$G$2:$G$200000,"AS"),2),"")</f>
        <v/>
      </c>
      <c r="P51" s="10" t="str">
        <f aca="false">IFERROR(ROUND(AVERAGEIFS(Responses!$J$2:$J$200000,Responses!$A$2:$A$200000,$A51,Responses!$G$2:$G$200000,"IR"),2),"")</f>
        <v/>
      </c>
      <c r="Q51" s="10" t="str">
        <f aca="false">IFERROR(ROUND(AVERAGEIFS(Responses!$J$2:$J$200000,Responses!$A$2:$A$200000,$A51,Responses!$G$2:$G$200000,"PC"),2),"")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4"/>
  </cols>
  <sheetData>
    <row r="1" customFormat="false" ht="17.35" hidden="false" customHeight="false" outlineLevel="0" collapsed="false">
      <c r="A1" s="11" t="s">
        <v>289</v>
      </c>
      <c r="B1" s="12"/>
    </row>
    <row r="2" customFormat="false" ht="15" hidden="false" customHeight="false" outlineLevel="0" collapsed="false">
      <c r="A2" s="13"/>
      <c r="B2" s="12"/>
    </row>
    <row r="3" customFormat="false" ht="15" hidden="false" customHeight="false" outlineLevel="0" collapsed="false">
      <c r="A3" s="13" t="s">
        <v>290</v>
      </c>
      <c r="B3" s="12"/>
    </row>
    <row r="4" customFormat="false" ht="15" hidden="false" customHeight="false" outlineLevel="0" collapsed="false">
      <c r="A4" s="13"/>
      <c r="B4" s="12"/>
    </row>
    <row r="5" customFormat="false" ht="15" hidden="false" customHeight="false" outlineLevel="0" collapsed="false">
      <c r="A5" s="14" t="s">
        <v>291</v>
      </c>
      <c r="B5" s="12"/>
    </row>
    <row r="6" customFormat="false" ht="15" hidden="false" customHeight="false" outlineLevel="0" collapsed="false">
      <c r="A6" s="13" t="s">
        <v>292</v>
      </c>
      <c r="B6" s="12" t="s">
        <v>293</v>
      </c>
    </row>
    <row r="7" customFormat="false" ht="15" hidden="false" customHeight="false" outlineLevel="0" collapsed="false">
      <c r="A7" s="13" t="s">
        <v>9</v>
      </c>
      <c r="B7" s="12" t="s">
        <v>294</v>
      </c>
    </row>
    <row r="8" customFormat="false" ht="15" hidden="false" customHeight="false" outlineLevel="0" collapsed="false">
      <c r="A8" s="13"/>
      <c r="B8" s="12" t="s">
        <v>295</v>
      </c>
    </row>
    <row r="9" customFormat="false" ht="15" hidden="false" customHeight="false" outlineLevel="0" collapsed="false">
      <c r="A9" s="13" t="s">
        <v>3</v>
      </c>
      <c r="B9" s="12" t="s">
        <v>296</v>
      </c>
    </row>
    <row r="10" customFormat="false" ht="15" hidden="false" customHeight="false" outlineLevel="0" collapsed="false">
      <c r="A10" s="13"/>
      <c r="B10" s="12"/>
    </row>
    <row r="11" customFormat="false" ht="15" hidden="false" customHeight="false" outlineLevel="0" collapsed="false">
      <c r="A11" s="14" t="s">
        <v>297</v>
      </c>
      <c r="B11" s="12"/>
    </row>
    <row r="12" customFormat="false" ht="15" hidden="false" customHeight="false" outlineLevel="0" collapsed="false">
      <c r="A12" s="13" t="s">
        <v>37</v>
      </c>
      <c r="B12" s="12" t="s">
        <v>298</v>
      </c>
    </row>
    <row r="13" customFormat="false" ht="15" hidden="false" customHeight="false" outlineLevel="0" collapsed="false">
      <c r="A13" s="13" t="s">
        <v>299</v>
      </c>
      <c r="B13" s="12" t="s">
        <v>300</v>
      </c>
    </row>
    <row r="14" customFormat="false" ht="15" hidden="false" customHeight="false" outlineLevel="0" collapsed="false">
      <c r="A14" s="13" t="s">
        <v>301</v>
      </c>
      <c r="B14" s="12" t="s">
        <v>302</v>
      </c>
    </row>
    <row r="15" customFormat="false" ht="15" hidden="false" customHeight="false" outlineLevel="0" collapsed="false">
      <c r="A15" s="13"/>
      <c r="B15" s="12" t="s">
        <v>303</v>
      </c>
    </row>
    <row r="16" customFormat="false" ht="15" hidden="false" customHeight="false" outlineLevel="0" collapsed="false">
      <c r="A16" s="13"/>
      <c r="B16" s="12" t="s">
        <v>304</v>
      </c>
    </row>
    <row r="17" customFormat="false" ht="15" hidden="false" customHeight="false" outlineLevel="0" collapsed="false">
      <c r="A17" s="13"/>
      <c r="B17" s="12"/>
    </row>
    <row r="18" customFormat="false" ht="15" hidden="false" customHeight="false" outlineLevel="0" collapsed="false">
      <c r="A18" s="14" t="s">
        <v>305</v>
      </c>
      <c r="B18" s="12"/>
    </row>
    <row r="19" customFormat="false" ht="15" hidden="false" customHeight="false" outlineLevel="0" collapsed="false">
      <c r="A19" s="13"/>
      <c r="B19" s="12" t="s">
        <v>306</v>
      </c>
    </row>
    <row r="20" customFormat="false" ht="15" hidden="false" customHeight="false" outlineLevel="0" collapsed="false">
      <c r="A20" s="13"/>
      <c r="B20" s="12" t="s">
        <v>307</v>
      </c>
    </row>
    <row r="21" customFormat="false" ht="15" hidden="false" customHeight="false" outlineLevel="0" collapsed="false">
      <c r="A21" s="13"/>
      <c r="B21" s="12" t="s">
        <v>308</v>
      </c>
    </row>
    <row r="22" customFormat="false" ht="15" hidden="false" customHeight="false" outlineLevel="0" collapsed="false">
      <c r="A22" s="13"/>
      <c r="B22" s="12"/>
    </row>
    <row r="23" customFormat="false" ht="15" hidden="false" customHeight="false" outlineLevel="0" collapsed="false">
      <c r="A23" s="14" t="s">
        <v>309</v>
      </c>
      <c r="B23" s="12"/>
    </row>
    <row r="24" customFormat="false" ht="15" hidden="false" customHeight="false" outlineLevel="0" collapsed="false">
      <c r="A24" s="13" t="s">
        <v>310</v>
      </c>
      <c r="B24" s="12" t="s">
        <v>311</v>
      </c>
    </row>
    <row r="25" customFormat="false" ht="15" hidden="false" customHeight="false" outlineLevel="0" collapsed="false">
      <c r="A25" s="13" t="s">
        <v>312</v>
      </c>
      <c r="B25" s="12" t="s">
        <v>313</v>
      </c>
    </row>
    <row r="26" customFormat="false" ht="15" hidden="false" customHeight="false" outlineLevel="0" collapsed="false">
      <c r="A26" s="13" t="s">
        <v>314</v>
      </c>
      <c r="B26" s="12" t="s">
        <v>315</v>
      </c>
    </row>
    <row r="27" customFormat="false" ht="15" hidden="false" customHeight="false" outlineLevel="0" collapsed="false">
      <c r="A27" s="13" t="s">
        <v>316</v>
      </c>
      <c r="B27" s="12" t="s">
        <v>317</v>
      </c>
    </row>
    <row r="28" customFormat="false" ht="15" hidden="false" customHeight="false" outlineLevel="0" collapsed="false">
      <c r="A28" s="13" t="s">
        <v>318</v>
      </c>
      <c r="B28" s="12" t="s">
        <v>319</v>
      </c>
    </row>
    <row r="29" customFormat="false" ht="15" hidden="false" customHeight="false" outlineLevel="0" collapsed="false">
      <c r="A29" s="13"/>
      <c r="B29" s="12"/>
    </row>
    <row r="30" customFormat="false" ht="15" hidden="false" customHeight="false" outlineLevel="0" collapsed="false">
      <c r="A30" s="14" t="s">
        <v>320</v>
      </c>
      <c r="B30" s="12"/>
    </row>
    <row r="31" customFormat="false" ht="15" hidden="false" customHeight="false" outlineLevel="0" collapsed="false">
      <c r="A31" s="13"/>
      <c r="B31" s="12" t="s">
        <v>321</v>
      </c>
    </row>
    <row r="32" customFormat="false" ht="15" hidden="false" customHeight="false" outlineLevel="0" collapsed="false">
      <c r="A32" s="13"/>
      <c r="B32" s="12" t="s">
        <v>322</v>
      </c>
    </row>
    <row r="33" customFormat="false" ht="15" hidden="false" customHeight="false" outlineLevel="0" collapsed="false">
      <c r="A33" s="13"/>
      <c r="B33" s="12" t="s">
        <v>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2026-09-12T18:35:34Z</dcterms:created>
  <dc:creator>openpyxl</dc:creator>
  <dc:description/>
  <dc:language>en-US</dc:language>
  <cp:lastModifiedBy/>
  <dcterms:modified xsi:type="dcterms:W3CDTF">2026-09-12T18:35:34Z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